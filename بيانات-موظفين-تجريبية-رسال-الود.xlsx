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بيانات الموظفين" sheetId="1" state="visible" r:id="rId3"/>
    <sheet name="الرواتب والتكاليف" sheetId="2" state="visible" r:id="rId4"/>
    <sheet name="الدوران الوظيفي" sheetId="3" state="visible" r:id="rId5"/>
    <sheet name="تحليل الأداء" sheetId="4" state="visible" r:id="rId6"/>
    <sheet name="التوظيف والاستقطاب" sheetId="5" state="visible" r:id="rId7"/>
    <sheet name="ملخص الأقسام" sheetId="6" state="visible" r:id="rId8"/>
    <sheet name="دليل الاستخدام" sheetId="7" state="visible" r:id="rId9"/>
  </sheets>
  <definedNames>
    <definedName function="false" hidden="true" localSheetId="4" name="_xlnm._FilterDatabase" vbProcedure="false">'التوظيف والاستقطاب'!$A$1:$M$26</definedName>
    <definedName function="false" hidden="true" localSheetId="1" name="_xlnm._FilterDatabase" vbProcedure="false">'الرواتب والتكاليف'!$A$1:$L$41</definedName>
    <definedName function="false" hidden="true" localSheetId="0" name="_xlnm._FilterDatabase" vbProcedure="false">'بيانات الموظفين'!$A$1:$T$51</definedName>
    <definedName function="false" hidden="true" localSheetId="3" name="_xlnm._FilterDatabase" vbProcedure="false">'تحليل الأداء'!$A$1:$K$41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<sst xmlns="http://schemas.openxmlformats.org/spreadsheetml/2006/main" count="1121" uniqueCount="287">
  <si>
    <t xml:space="preserve">رقم الموظف</t>
  </si>
  <si>
    <t xml:space="preserve">الاسم</t>
  </si>
  <si>
    <t xml:space="preserve">الجنس</t>
  </si>
  <si>
    <t xml:space="preserve">العمر</t>
  </si>
  <si>
    <t xml:space="preserve">الجنسية</t>
  </si>
  <si>
    <t xml:space="preserve">المدينة</t>
  </si>
  <si>
    <t xml:space="preserve">الحالة الاجتماعية</t>
  </si>
  <si>
    <t xml:space="preserve">المؤهل</t>
  </si>
  <si>
    <t xml:space="preserve">القسم</t>
  </si>
  <si>
    <t xml:space="preserve">المسمى الوظيفي</t>
  </si>
  <si>
    <t xml:space="preserve">الدرجة</t>
  </si>
  <si>
    <t xml:space="preserve">الراتب الأساسي</t>
  </si>
  <si>
    <t xml:space="preserve">تاريخ التعيين</t>
  </si>
  <si>
    <t xml:space="preserve">الحالة</t>
  </si>
  <si>
    <t xml:space="preserve">تاريخ الانتهاء</t>
  </si>
  <si>
    <t xml:space="preserve">سبب المغادرة</t>
  </si>
  <si>
    <t xml:space="preserve">تقييم الأداء %</t>
  </si>
  <si>
    <t xml:space="preserve">الرضا الوظيفي %</t>
  </si>
  <si>
    <t xml:space="preserve">أيام الغياب</t>
  </si>
  <si>
    <t xml:space="preserve">ساعات التدريب</t>
  </si>
  <si>
    <t xml:space="preserve">EMP-001</t>
  </si>
  <si>
    <t xml:space="preserve">أحمد العمري</t>
  </si>
  <si>
    <t xml:space="preserve">ذكر</t>
  </si>
  <si>
    <t xml:space="preserve">سعودي</t>
  </si>
  <si>
    <t xml:space="preserve">الدمام</t>
  </si>
  <si>
    <t xml:space="preserve">أعزب</t>
  </si>
  <si>
    <t xml:space="preserve">ماجستير</t>
  </si>
  <si>
    <t xml:space="preserve">الموارد البشرية</t>
  </si>
  <si>
    <t xml:space="preserve">مدير موارد بشرية</t>
  </si>
  <si>
    <t xml:space="preserve">A</t>
  </si>
  <si>
    <t xml:space="preserve">استقالة</t>
  </si>
  <si>
    <t xml:space="preserve">فرصة أفضل</t>
  </si>
  <si>
    <t xml:space="preserve">EMP-002</t>
  </si>
  <si>
    <t xml:space="preserve">وليد الجهني</t>
  </si>
  <si>
    <t xml:space="preserve">الرياض</t>
  </si>
  <si>
    <t xml:space="preserve">متزوج</t>
  </si>
  <si>
    <t xml:space="preserve">بكالوريوس</t>
  </si>
  <si>
    <t xml:space="preserve">خدمة العملاء</t>
  </si>
  <si>
    <t xml:space="preserve">ممثل خدمة عملاء</t>
  </si>
  <si>
    <t xml:space="preserve">C</t>
  </si>
  <si>
    <t xml:space="preserve">نشط</t>
  </si>
  <si>
    <t xml:space="preserve">EMP-003</t>
  </si>
  <si>
    <t xml:space="preserve">سمر العمري</t>
  </si>
  <si>
    <t xml:space="preserve">أنثى</t>
  </si>
  <si>
    <t xml:space="preserve">سعودية</t>
  </si>
  <si>
    <t xml:space="preserve">جدة</t>
  </si>
  <si>
    <t xml:space="preserve">المبيعات</t>
  </si>
  <si>
    <t xml:space="preserve">منسق مبيعات</t>
  </si>
  <si>
    <t xml:space="preserve">EMP-004</t>
  </si>
  <si>
    <t xml:space="preserve">راشد البقمي</t>
  </si>
  <si>
    <t xml:space="preserve">B</t>
  </si>
  <si>
    <t xml:space="preserve">EMP-005</t>
  </si>
  <si>
    <t xml:space="preserve">سلطان الشمري</t>
  </si>
  <si>
    <t xml:space="preserve">غير سعودي</t>
  </si>
  <si>
    <t xml:space="preserve">المالية</t>
  </si>
  <si>
    <t xml:space="preserve">محلل مالي</t>
  </si>
  <si>
    <t xml:space="preserve">EMP-006</t>
  </si>
  <si>
    <t xml:space="preserve">شيماء المطيري</t>
  </si>
  <si>
    <t xml:space="preserve">أسباب شخصية</t>
  </si>
  <si>
    <t xml:space="preserve">EMP-007</t>
  </si>
  <si>
    <t xml:space="preserve">مشاري العلي</t>
  </si>
  <si>
    <t xml:space="preserve">التسويق</t>
  </si>
  <si>
    <t xml:space="preserve">كاتب محتوى</t>
  </si>
  <si>
    <t xml:space="preserve">EMP-008</t>
  </si>
  <si>
    <t xml:space="preserve">مريم الشمري</t>
  </si>
  <si>
    <t xml:space="preserve">دبلوم</t>
  </si>
  <si>
    <t xml:space="preserve">أخصائي تطوير أعمال</t>
  </si>
  <si>
    <t xml:space="preserve">الانتقال</t>
  </si>
  <si>
    <t xml:space="preserve">EMP-009</t>
  </si>
  <si>
    <t xml:space="preserve">فهد السبيعي</t>
  </si>
  <si>
    <t xml:space="preserve">ثانوية</t>
  </si>
  <si>
    <t xml:space="preserve">أخصائي موارد بشرية</t>
  </si>
  <si>
    <t xml:space="preserve">EMP-010</t>
  </si>
  <si>
    <t xml:space="preserve">نجلاء الصبحي</t>
  </si>
  <si>
    <t xml:space="preserve">EMP-011</t>
  </si>
  <si>
    <t xml:space="preserve">عادل الزهراني</t>
  </si>
  <si>
    <t xml:space="preserve">تقنية المعلومات</t>
  </si>
  <si>
    <t xml:space="preserve">مدير تقنية المعلومات</t>
  </si>
  <si>
    <t xml:space="preserve">EMP-012</t>
  </si>
  <si>
    <t xml:space="preserve">فاطمة الرشيدي</t>
  </si>
  <si>
    <t xml:space="preserve">EMP-013</t>
  </si>
  <si>
    <t xml:space="preserve">هند الزهراني</t>
  </si>
  <si>
    <t xml:space="preserve">أخصائي تطوير تنظيمي</t>
  </si>
  <si>
    <t xml:space="preserve">EMP-014</t>
  </si>
  <si>
    <t xml:space="preserve">راشد الزهراني</t>
  </si>
  <si>
    <t xml:space="preserve">EMP-015</t>
  </si>
  <si>
    <t xml:space="preserve">تركي البقمي</t>
  </si>
  <si>
    <t xml:space="preserve">أخصائي أمن معلومات</t>
  </si>
  <si>
    <t xml:space="preserve">EMP-016</t>
  </si>
  <si>
    <t xml:space="preserve">سلطان القحطاني</t>
  </si>
  <si>
    <t xml:space="preserve">مدير مبيعات</t>
  </si>
  <si>
    <t xml:space="preserve">إنهاء خدمات</t>
  </si>
  <si>
    <t xml:space="preserve">إعادة هيكلة</t>
  </si>
  <si>
    <t xml:space="preserve">EMP-017</t>
  </si>
  <si>
    <t xml:space="preserve">فاطمة العمري</t>
  </si>
  <si>
    <t xml:space="preserve">منسق توظيف</t>
  </si>
  <si>
    <t xml:space="preserve">EMP-018</t>
  </si>
  <si>
    <t xml:space="preserve">ريم الزهراني</t>
  </si>
  <si>
    <t xml:space="preserve">EMP-019</t>
  </si>
  <si>
    <t xml:space="preserve">عمر البقمي</t>
  </si>
  <si>
    <t xml:space="preserve">EMP-020</t>
  </si>
  <si>
    <t xml:space="preserve">طارق العمري</t>
  </si>
  <si>
    <t xml:space="preserve">EMP-021</t>
  </si>
  <si>
    <t xml:space="preserve">سعد السبيعي</t>
  </si>
  <si>
    <t xml:space="preserve">EMP-022</t>
  </si>
  <si>
    <t xml:space="preserve">سلطان المالكي</t>
  </si>
  <si>
    <t xml:space="preserve">أخصائي تجربة عملاء</t>
  </si>
  <si>
    <t xml:space="preserve">EMP-023</t>
  </si>
  <si>
    <t xml:space="preserve">أحمد الغامدي</t>
  </si>
  <si>
    <t xml:space="preserve">مدير مالي</t>
  </si>
  <si>
    <t xml:space="preserve">EMP-024</t>
  </si>
  <si>
    <t xml:space="preserve">زياد العلي</t>
  </si>
  <si>
    <t xml:space="preserve">EMP-025</t>
  </si>
  <si>
    <t xml:space="preserve">مشاري المالكي</t>
  </si>
  <si>
    <t xml:space="preserve">مندوب مبيعات</t>
  </si>
  <si>
    <t xml:space="preserve">EMP-026</t>
  </si>
  <si>
    <t xml:space="preserve">زياد الجهني</t>
  </si>
  <si>
    <t xml:space="preserve">أخصائي تسويق رقمي</t>
  </si>
  <si>
    <t xml:space="preserve">EMP-027</t>
  </si>
  <si>
    <t xml:space="preserve">مريم القحطاني</t>
  </si>
  <si>
    <t xml:space="preserve">العمليات</t>
  </si>
  <si>
    <t xml:space="preserve">أخصائي جودة</t>
  </si>
  <si>
    <t xml:space="preserve">EMP-028</t>
  </si>
  <si>
    <t xml:space="preserve">فيصل الحارثي</t>
  </si>
  <si>
    <t xml:space="preserve">مصمم جرافيك</t>
  </si>
  <si>
    <t xml:space="preserve">EMP-029</t>
  </si>
  <si>
    <t xml:space="preserve">وليد التميمي</t>
  </si>
  <si>
    <t xml:space="preserve">مشرف خدمة عملاء</t>
  </si>
  <si>
    <t xml:space="preserve">راتب أعلى</t>
  </si>
  <si>
    <t xml:space="preserve">EMP-030</t>
  </si>
  <si>
    <t xml:space="preserve">فيصل البقمي</t>
  </si>
  <si>
    <t xml:space="preserve">EMP-031</t>
  </si>
  <si>
    <t xml:space="preserve">ابتسام الشمري</t>
  </si>
  <si>
    <t xml:space="preserve">مهندس أنظمة</t>
  </si>
  <si>
    <t xml:space="preserve">ضعف أداء</t>
  </si>
  <si>
    <t xml:space="preserve">EMP-032</t>
  </si>
  <si>
    <t xml:space="preserve">رنا الرشيدي</t>
  </si>
  <si>
    <t xml:space="preserve">مدير تسويق</t>
  </si>
  <si>
    <t xml:space="preserve">EMP-033</t>
  </si>
  <si>
    <t xml:space="preserve">وليد الدوسري</t>
  </si>
  <si>
    <t xml:space="preserve">أخصائي رواتب</t>
  </si>
  <si>
    <t xml:space="preserve">EMP-034</t>
  </si>
  <si>
    <t xml:space="preserve">فاطمة القحطاني</t>
  </si>
  <si>
    <t xml:space="preserve">EMP-035</t>
  </si>
  <si>
    <t xml:space="preserve">زياد الصبحي</t>
  </si>
  <si>
    <t xml:space="preserve">EMP-036</t>
  </si>
  <si>
    <t xml:space="preserve">عادل الحربي</t>
  </si>
  <si>
    <t xml:space="preserve">مشرف عمليات</t>
  </si>
  <si>
    <t xml:space="preserve">EMP-037</t>
  </si>
  <si>
    <t xml:space="preserve">نايف التميمي</t>
  </si>
  <si>
    <t xml:space="preserve">انتهاء العقد</t>
  </si>
  <si>
    <t xml:space="preserve">EMP-038</t>
  </si>
  <si>
    <t xml:space="preserve">أمل الدوسري</t>
  </si>
  <si>
    <t xml:space="preserve">EMP-039</t>
  </si>
  <si>
    <t xml:space="preserve">ابتسام الزهراني</t>
  </si>
  <si>
    <t xml:space="preserve">EMP-040</t>
  </si>
  <si>
    <t xml:space="preserve">ابتسام المالكي</t>
  </si>
  <si>
    <t xml:space="preserve">EMP-041</t>
  </si>
  <si>
    <t xml:space="preserve">منيرة الجهني</t>
  </si>
  <si>
    <t xml:space="preserve">EMP-042</t>
  </si>
  <si>
    <t xml:space="preserve">طارق الرشيدي</t>
  </si>
  <si>
    <t xml:space="preserve">EMP-043</t>
  </si>
  <si>
    <t xml:space="preserve">ريم الجهني</t>
  </si>
  <si>
    <t xml:space="preserve">EMP-044</t>
  </si>
  <si>
    <t xml:space="preserve">دلال الجهني</t>
  </si>
  <si>
    <t xml:space="preserve">محاسب</t>
  </si>
  <si>
    <t xml:space="preserve">EMP-045</t>
  </si>
  <si>
    <t xml:space="preserve">شيماء الصبحي</t>
  </si>
  <si>
    <t xml:space="preserve">EMP-046</t>
  </si>
  <si>
    <t xml:space="preserve">طارق المطيري</t>
  </si>
  <si>
    <t xml:space="preserve">EMP-047</t>
  </si>
  <si>
    <t xml:space="preserve">شيماء القحطاني</t>
  </si>
  <si>
    <t xml:space="preserve">EMP-048</t>
  </si>
  <si>
    <t xml:space="preserve">نجلاء الشمري</t>
  </si>
  <si>
    <t xml:space="preserve">EMP-049</t>
  </si>
  <si>
    <t xml:space="preserve">دلال الحارثي</t>
  </si>
  <si>
    <t xml:space="preserve">EMP-050</t>
  </si>
  <si>
    <t xml:space="preserve">شيماء الحربي</t>
  </si>
  <si>
    <t xml:space="preserve">بدل السكن (25%)</t>
  </si>
  <si>
    <t xml:space="preserve">بدل النقل</t>
  </si>
  <si>
    <t xml:space="preserve">التأمينات الاجتماعية (11.75%)</t>
  </si>
  <si>
    <t xml:space="preserve">التأمين الطبي</t>
  </si>
  <si>
    <t xml:space="preserve">بدلات أخرى</t>
  </si>
  <si>
    <t xml:space="preserve">إجمالي التكلفة الشهرية</t>
  </si>
  <si>
    <t xml:space="preserve">إجمالي التكلفة السنوية</t>
  </si>
  <si>
    <t xml:space="preserve">الإجمالي</t>
  </si>
  <si>
    <t xml:space="preserve">الشهر</t>
  </si>
  <si>
    <t xml:space="preserve">السنة</t>
  </si>
  <si>
    <t xml:space="preserve">تعيينات جديدة</t>
  </si>
  <si>
    <t xml:space="preserve">استقالات</t>
  </si>
  <si>
    <t xml:space="preserve">إجمالي المغادرين</t>
  </si>
  <si>
    <t xml:space="preserve">عدد الموظفين أول الشهر</t>
  </si>
  <si>
    <t xml:space="preserve">عدد الموظفين آخر الشهر</t>
  </si>
  <si>
    <t xml:space="preserve">معدل الدوران %</t>
  </si>
  <si>
    <t xml:space="preserve">يناير</t>
  </si>
  <si>
    <t xml:space="preserve">فبراير</t>
  </si>
  <si>
    <t xml:space="preserve">مارس</t>
  </si>
  <si>
    <t xml:space="preserve">أبريل</t>
  </si>
  <si>
    <t xml:space="preserve">مايو</t>
  </si>
  <si>
    <t xml:space="preserve">يونيو</t>
  </si>
  <si>
    <t xml:space="preserve">يوليو</t>
  </si>
  <si>
    <t xml:space="preserve">أغسطس</t>
  </si>
  <si>
    <t xml:space="preserve">سبتمبر</t>
  </si>
  <si>
    <t xml:space="preserve">أكتوبر</t>
  </si>
  <si>
    <t xml:space="preserve">نوفمبر</t>
  </si>
  <si>
    <t xml:space="preserve">ديسمبر</t>
  </si>
  <si>
    <t xml:space="preserve">تقييم Q1</t>
  </si>
  <si>
    <t xml:space="preserve">تقييم Q2</t>
  </si>
  <si>
    <t xml:space="preserve">تقييم Q3</t>
  </si>
  <si>
    <t xml:space="preserve">تقييم Q4</t>
  </si>
  <si>
    <t xml:space="preserve">متوسط الأداء</t>
  </si>
  <si>
    <t xml:space="preserve">التصنيف</t>
  </si>
  <si>
    <t xml:space="preserve">التوصية</t>
  </si>
  <si>
    <t xml:space="preserve">رقم الطلب</t>
  </si>
  <si>
    <t xml:space="preserve">تاريخ الطلب</t>
  </si>
  <si>
    <t xml:space="preserve">مصدر الاستقطاب</t>
  </si>
  <si>
    <t xml:space="preserve">عدد المتقدمين</t>
  </si>
  <si>
    <t xml:space="preserve">تم الفرز</t>
  </si>
  <si>
    <t xml:space="preserve">مقابلات</t>
  </si>
  <si>
    <t xml:space="preserve">عروض مقدمة</t>
  </si>
  <si>
    <t xml:space="preserve">تعيينات</t>
  </si>
  <si>
    <t xml:space="preserve">أيام التوظيف</t>
  </si>
  <si>
    <t xml:space="preserve">تكلفة التوظيف (ريال)</t>
  </si>
  <si>
    <t xml:space="preserve">REQ-001</t>
  </si>
  <si>
    <t xml:space="preserve">معرض توظيف</t>
  </si>
  <si>
    <t xml:space="preserve">ملغي</t>
  </si>
  <si>
    <t xml:space="preserve">REQ-002</t>
  </si>
  <si>
    <t xml:space="preserve">طاقات</t>
  </si>
  <si>
    <t xml:space="preserve">REQ-003</t>
  </si>
  <si>
    <t xml:space="preserve">مكتمل</t>
  </si>
  <si>
    <t xml:space="preserve">REQ-004</t>
  </si>
  <si>
    <t xml:space="preserve">REQ-005</t>
  </si>
  <si>
    <t xml:space="preserve">محلل بيانات</t>
  </si>
  <si>
    <t xml:space="preserve">REQ-006</t>
  </si>
  <si>
    <t xml:space="preserve">تويتر</t>
  </si>
  <si>
    <t xml:space="preserve">REQ-007</t>
  </si>
  <si>
    <t xml:space="preserve">LinkedIn</t>
  </si>
  <si>
    <t xml:space="preserve">REQ-008</t>
  </si>
  <si>
    <t xml:space="preserve">ترشيح موظف</t>
  </si>
  <si>
    <t xml:space="preserve">جاري</t>
  </si>
  <si>
    <t xml:space="preserve">REQ-009</t>
  </si>
  <si>
    <t xml:space="preserve">REQ-010</t>
  </si>
  <si>
    <t xml:space="preserve">Indeed</t>
  </si>
  <si>
    <t xml:space="preserve">REQ-011</t>
  </si>
  <si>
    <t xml:space="preserve">REQ-012</t>
  </si>
  <si>
    <t xml:space="preserve">REQ-013</t>
  </si>
  <si>
    <t xml:space="preserve">مدير مشاريع تقنية</t>
  </si>
  <si>
    <t xml:space="preserve">REQ-014</t>
  </si>
  <si>
    <t xml:space="preserve">منسق عمليات</t>
  </si>
  <si>
    <t xml:space="preserve">موقع الشركة</t>
  </si>
  <si>
    <t xml:space="preserve">REQ-015</t>
  </si>
  <si>
    <t xml:space="preserve">REQ-016</t>
  </si>
  <si>
    <t xml:space="preserve">REQ-017</t>
  </si>
  <si>
    <t xml:space="preserve">REQ-018</t>
  </si>
  <si>
    <t xml:space="preserve">مطور برمجيات</t>
  </si>
  <si>
    <t xml:space="preserve">REQ-019</t>
  </si>
  <si>
    <t xml:space="preserve">REQ-020</t>
  </si>
  <si>
    <t xml:space="preserve">REQ-021</t>
  </si>
  <si>
    <t xml:space="preserve">REQ-022</t>
  </si>
  <si>
    <t xml:space="preserve">REQ-023</t>
  </si>
  <si>
    <t xml:space="preserve">REQ-024</t>
  </si>
  <si>
    <t xml:space="preserve">REQ-025</t>
  </si>
  <si>
    <t xml:space="preserve">عدد الموظفين</t>
  </si>
  <si>
    <t xml:space="preserve">متوسط الراتب</t>
  </si>
  <si>
    <t xml:space="preserve">إجمالي الرواتب</t>
  </si>
  <si>
    <t xml:space="preserve">متوسط الرضا</t>
  </si>
  <si>
    <t xml:space="preserve">متوسط أيام الغياب</t>
  </si>
  <si>
    <t xml:space="preserve">دليل استخدام ملف بيانات الموارد البشرية</t>
  </si>
  <si>
    <t xml:space="preserve">هذا الملف يحتوي على بيانات تجريبية لـ 50 موظف مصممة لتطوير منتج تحليلات HR</t>
  </si>
  <si>
    <t xml:space="preserve">الأوراق المتوفرة:</t>
  </si>
  <si>
    <t xml:space="preserve">1. بيانات الموظفين: المعلومات الشخصية والوظيفية لجميع الموظفين (50 موظف)</t>
  </si>
  <si>
    <t xml:space="preserve">2. الرواتب والتكاليف: تفصيل التكلفة الكلية لكل موظف نشط بالريال</t>
  </si>
  <si>
    <t xml:space="preserve">3. الدوران الوظيفي: حركة التوظيف والاستقالات شهرياً (15 شهر)</t>
  </si>
  <si>
    <t xml:space="preserve">4. تحليل الأداء: تقييمات ربع سنوية مع التصنيف والتوصيات التلقائية</t>
  </si>
  <si>
    <t xml:space="preserve">5. التوظيف والاستقطاب: طلبات التوظيف مع قمع التحويل (25 طلب)</t>
  </si>
  <si>
    <t xml:space="preserve">6. ملخص الأقسام: إحصائيات مجمعة لكل قسم</t>
  </si>
  <si>
    <t xml:space="preserve">كيفية الاستخدام مع Streamlit:</t>
  </si>
  <si>
    <t xml:space="preserve">1. ثبت Python من python.org</t>
  </si>
  <si>
    <t xml:space="preserve">2. شغل: pip install streamlit pandas plotly openpyxl</t>
  </si>
  <si>
    <t xml:space="preserve">3. أنشئ ملف app.py وضع فيه الكود الأساسي</t>
  </si>
  <si>
    <t xml:space="preserve">4. شغل: streamlit run app.py</t>
  </si>
  <si>
    <t xml:space="preserve">5. ارفع هذا الملف في التطبيق وابدأ التحليل!</t>
  </si>
  <si>
    <t xml:space="preserve">ملاحظات مهمة:</t>
  </si>
  <si>
    <t xml:space="preserve">- البيانات وهمية 100% ولا تمثل موظفين حقيقيين</t>
  </si>
  <si>
    <t xml:space="preserve">- الأسماء والأرقام مولّدة عشوائياً للتطوير والاختبار فقط</t>
  </si>
  <si>
    <t xml:space="preserve">- يمكن استبدال البيانات ببيانات حقيقية مع الحفاظ على نفس هيكل الأعمدة</t>
  </si>
  <si>
    <t xml:space="preserve">- نسب التأمينات الاجتماعية مبنية على نظام GOSI السعودي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</si>
</sst>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yyyy\-mm\-dd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A031E"/>
      <name val="Arial"/>
      <family val="0"/>
      <charset val="1"/>
    </font>
    <font>
      <b val="true"/>
      <sz val="10"/>
      <color rgb="FFE36414"/>
      <name val="Arial"/>
      <family val="0"/>
      <charset val="1"/>
    </font>
    <font>
      <b val="true"/>
      <sz val="10"/>
      <color rgb="FF2D6A4F"/>
      <name val="Arial"/>
      <family val="0"/>
      <charset val="1"/>
    </font>
    <font>
      <b val="true"/>
      <sz val="14"/>
      <color rgb="FF0F4C5C"/>
      <name val="Arial"/>
      <family val="0"/>
      <charset val="1"/>
    </font>
    <font>
      <b val="true"/>
      <sz val="11"/>
      <color rgb="FFE3641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4C5C"/>
        <bgColor rgb="FF2D6A4F"/>
      </patternFill>
    </fill>
    <fill>
      <patternFill patternType="solid">
        <fgColor rgb="FFF1F5F9"/>
        <bgColor rgb="FFFFFFFF"/>
      </patternFill>
    </fill>
    <fill>
      <patternFill patternType="solid">
        <fgColor rgb="FFE36414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F4C5C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D6A4F"/>
          <bgColor rgb="FF000000"/>
        </patternFill>
      </fill>
    </dxf>
    <dxf>
      <fill>
        <patternFill patternType="solid">
          <fgColor rgb="FF9A031E"/>
          <bgColor rgb="FF000000"/>
        </patternFill>
      </fill>
    </dxf>
    <dxf>
      <fill>
        <patternFill patternType="solid">
          <fgColor rgb="FFE3641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A031E"/>
      <rgbColor rgb="FF008000"/>
      <rgbColor rgb="FF000080"/>
      <rgbColor rgb="FF808000"/>
      <rgbColor rgb="FF800080"/>
      <rgbColor rgb="FF2D6A4F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36414"/>
      <rgbColor rgb="FF666699"/>
      <rgbColor rgb="FF969696"/>
      <rgbColor rgb="FF0F4C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9" min="3" style="0" width="16"/>
    <col collapsed="false" customWidth="true" hidden="false" outlineLevel="0" max="10" min="10" style="0" width="22"/>
    <col collapsed="false" customWidth="true" hidden="false" outlineLevel="0" max="20" min="11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n">
        <v>49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3" t="n">
        <v>13000</v>
      </c>
      <c r="M2" s="4" t="n">
        <v>43739</v>
      </c>
      <c r="N2" s="2" t="s">
        <v>30</v>
      </c>
      <c r="O2" s="4" t="n">
        <v>44927</v>
      </c>
      <c r="P2" s="2" t="s">
        <v>31</v>
      </c>
      <c r="Q2" s="5" t="n">
        <v>65</v>
      </c>
      <c r="R2" s="2" t="n">
        <v>63</v>
      </c>
      <c r="S2" s="2" t="n">
        <v>7</v>
      </c>
      <c r="T2" s="2" t="n">
        <v>32</v>
      </c>
    </row>
    <row r="3" customFormat="false" ht="15" hidden="false" customHeight="false" outlineLevel="0" collapsed="false">
      <c r="A3" s="6" t="s">
        <v>32</v>
      </c>
      <c r="B3" s="6" t="s">
        <v>33</v>
      </c>
      <c r="C3" s="6" t="s">
        <v>22</v>
      </c>
      <c r="D3" s="6" t="n">
        <v>45</v>
      </c>
      <c r="E3" s="6" t="s">
        <v>23</v>
      </c>
      <c r="F3" s="6" t="s">
        <v>34</v>
      </c>
      <c r="G3" s="6" t="s">
        <v>35</v>
      </c>
      <c r="H3" s="6" t="s">
        <v>36</v>
      </c>
      <c r="I3" s="6" t="s">
        <v>37</v>
      </c>
      <c r="J3" s="6" t="s">
        <v>38</v>
      </c>
      <c r="K3" s="6" t="s">
        <v>39</v>
      </c>
      <c r="L3" s="7" t="n">
        <v>6500</v>
      </c>
      <c r="M3" s="8" t="n">
        <v>45047</v>
      </c>
      <c r="N3" s="6" t="s">
        <v>40</v>
      </c>
      <c r="O3" s="6"/>
      <c r="P3" s="6"/>
      <c r="Q3" s="9" t="n">
        <v>59</v>
      </c>
      <c r="R3" s="6" t="n">
        <v>63</v>
      </c>
      <c r="S3" s="6" t="n">
        <v>10</v>
      </c>
      <c r="T3" s="6" t="n">
        <v>6</v>
      </c>
    </row>
    <row r="4" customFormat="false" ht="15" hidden="false" customHeight="false" outlineLevel="0" collapsed="false">
      <c r="A4" s="2" t="s">
        <v>41</v>
      </c>
      <c r="B4" s="2" t="s">
        <v>42</v>
      </c>
      <c r="C4" s="2" t="s">
        <v>43</v>
      </c>
      <c r="D4" s="2" t="n">
        <v>25</v>
      </c>
      <c r="E4" s="2" t="s">
        <v>44</v>
      </c>
      <c r="F4" s="2" t="s">
        <v>45</v>
      </c>
      <c r="G4" s="2" t="s">
        <v>25</v>
      </c>
      <c r="H4" s="2" t="s">
        <v>36</v>
      </c>
      <c r="I4" s="2" t="s">
        <v>46</v>
      </c>
      <c r="J4" s="2" t="s">
        <v>47</v>
      </c>
      <c r="K4" s="2" t="s">
        <v>29</v>
      </c>
      <c r="L4" s="3" t="n">
        <v>15000</v>
      </c>
      <c r="M4" s="4" t="n">
        <v>43709</v>
      </c>
      <c r="N4" s="2" t="s">
        <v>40</v>
      </c>
      <c r="O4" s="2"/>
      <c r="P4" s="2"/>
      <c r="Q4" s="10" t="n">
        <v>78</v>
      </c>
      <c r="R4" s="2" t="n">
        <v>90</v>
      </c>
      <c r="S4" s="2" t="n">
        <v>19</v>
      </c>
      <c r="T4" s="2" t="n">
        <v>56</v>
      </c>
    </row>
    <row r="5" customFormat="false" ht="15" hidden="false" customHeight="false" outlineLevel="0" collapsed="false">
      <c r="A5" s="6" t="s">
        <v>48</v>
      </c>
      <c r="B5" s="6" t="s">
        <v>49</v>
      </c>
      <c r="C5" s="6" t="s">
        <v>22</v>
      </c>
      <c r="D5" s="6" t="n">
        <v>33</v>
      </c>
      <c r="E5" s="6" t="s">
        <v>23</v>
      </c>
      <c r="F5" s="6" t="s">
        <v>34</v>
      </c>
      <c r="G5" s="6" t="s">
        <v>35</v>
      </c>
      <c r="H5" s="6" t="s">
        <v>36</v>
      </c>
      <c r="I5" s="6" t="s">
        <v>37</v>
      </c>
      <c r="J5" s="6" t="s">
        <v>38</v>
      </c>
      <c r="K5" s="6" t="s">
        <v>50</v>
      </c>
      <c r="L5" s="7" t="n">
        <v>6000</v>
      </c>
      <c r="M5" s="8" t="n">
        <v>45962</v>
      </c>
      <c r="N5" s="6" t="s">
        <v>40</v>
      </c>
      <c r="O5" s="6"/>
      <c r="P5" s="6"/>
      <c r="Q5" s="11" t="n">
        <v>83</v>
      </c>
      <c r="R5" s="6" t="n">
        <v>60</v>
      </c>
      <c r="S5" s="6" t="n">
        <v>11</v>
      </c>
      <c r="T5" s="6" t="n">
        <v>22</v>
      </c>
    </row>
    <row r="6" customFormat="false" ht="15" hidden="false" customHeight="false" outlineLevel="0" collapsed="false">
      <c r="A6" s="2" t="s">
        <v>51</v>
      </c>
      <c r="B6" s="2" t="s">
        <v>52</v>
      </c>
      <c r="C6" s="2" t="s">
        <v>22</v>
      </c>
      <c r="D6" s="2" t="n">
        <v>54</v>
      </c>
      <c r="E6" s="2" t="s">
        <v>53</v>
      </c>
      <c r="F6" s="2" t="s">
        <v>24</v>
      </c>
      <c r="G6" s="2" t="s">
        <v>35</v>
      </c>
      <c r="H6" s="2" t="s">
        <v>26</v>
      </c>
      <c r="I6" s="2" t="s">
        <v>54</v>
      </c>
      <c r="J6" s="2" t="s">
        <v>55</v>
      </c>
      <c r="K6" s="2" t="s">
        <v>29</v>
      </c>
      <c r="L6" s="3" t="n">
        <v>13000</v>
      </c>
      <c r="M6" s="4" t="n">
        <v>43252</v>
      </c>
      <c r="N6" s="2" t="s">
        <v>40</v>
      </c>
      <c r="O6" s="2"/>
      <c r="P6" s="2"/>
      <c r="Q6" s="12" t="n">
        <v>85</v>
      </c>
      <c r="R6" s="2" t="n">
        <v>67</v>
      </c>
      <c r="S6" s="2" t="n">
        <v>2</v>
      </c>
      <c r="T6" s="2" t="n">
        <v>13</v>
      </c>
    </row>
    <row r="7" customFormat="false" ht="15" hidden="false" customHeight="false" outlineLevel="0" collapsed="false">
      <c r="A7" s="6" t="s">
        <v>56</v>
      </c>
      <c r="B7" s="6" t="s">
        <v>57</v>
      </c>
      <c r="C7" s="6" t="s">
        <v>43</v>
      </c>
      <c r="D7" s="6" t="n">
        <v>32</v>
      </c>
      <c r="E7" s="6" t="s">
        <v>44</v>
      </c>
      <c r="F7" s="6" t="s">
        <v>34</v>
      </c>
      <c r="G7" s="6" t="s">
        <v>25</v>
      </c>
      <c r="H7" s="6" t="s">
        <v>36</v>
      </c>
      <c r="I7" s="6" t="s">
        <v>27</v>
      </c>
      <c r="J7" s="6" t="s">
        <v>28</v>
      </c>
      <c r="K7" s="6" t="s">
        <v>39</v>
      </c>
      <c r="L7" s="7" t="n">
        <v>13000</v>
      </c>
      <c r="M7" s="8" t="n">
        <v>44896</v>
      </c>
      <c r="N7" s="6" t="s">
        <v>30</v>
      </c>
      <c r="O7" s="8" t="n">
        <v>46054</v>
      </c>
      <c r="P7" s="6" t="s">
        <v>58</v>
      </c>
      <c r="Q7" s="9" t="n">
        <v>62</v>
      </c>
      <c r="R7" s="6" t="n">
        <v>58</v>
      </c>
      <c r="S7" s="6" t="n">
        <v>16</v>
      </c>
      <c r="T7" s="6" t="n">
        <v>31</v>
      </c>
    </row>
    <row r="8" customFormat="false" ht="15" hidden="false" customHeight="false" outlineLevel="0" collapsed="false">
      <c r="A8" s="2" t="s">
        <v>59</v>
      </c>
      <c r="B8" s="2" t="s">
        <v>60</v>
      </c>
      <c r="C8" s="2" t="s">
        <v>22</v>
      </c>
      <c r="D8" s="2" t="n">
        <v>41</v>
      </c>
      <c r="E8" s="2" t="s">
        <v>23</v>
      </c>
      <c r="F8" s="2" t="s">
        <v>24</v>
      </c>
      <c r="G8" s="2" t="s">
        <v>35</v>
      </c>
      <c r="H8" s="2" t="s">
        <v>36</v>
      </c>
      <c r="I8" s="2" t="s">
        <v>61</v>
      </c>
      <c r="J8" s="2" t="s">
        <v>62</v>
      </c>
      <c r="K8" s="2" t="s">
        <v>50</v>
      </c>
      <c r="L8" s="3" t="n">
        <v>11000</v>
      </c>
      <c r="M8" s="4" t="n">
        <v>44805</v>
      </c>
      <c r="N8" s="2" t="s">
        <v>30</v>
      </c>
      <c r="O8" s="4" t="n">
        <v>45231</v>
      </c>
      <c r="P8" s="2" t="s">
        <v>31</v>
      </c>
      <c r="Q8" s="12" t="n">
        <v>94</v>
      </c>
      <c r="R8" s="2" t="n">
        <v>98</v>
      </c>
      <c r="S8" s="2" t="n">
        <v>8</v>
      </c>
      <c r="T8" s="2" t="n">
        <v>49</v>
      </c>
    </row>
    <row r="9" customFormat="false" ht="15" hidden="false" customHeight="false" outlineLevel="0" collapsed="false">
      <c r="A9" s="6" t="s">
        <v>63</v>
      </c>
      <c r="B9" s="6" t="s">
        <v>64</v>
      </c>
      <c r="C9" s="6" t="s">
        <v>43</v>
      </c>
      <c r="D9" s="6" t="n">
        <v>54</v>
      </c>
      <c r="E9" s="6" t="s">
        <v>44</v>
      </c>
      <c r="F9" s="6" t="s">
        <v>34</v>
      </c>
      <c r="G9" s="6" t="s">
        <v>25</v>
      </c>
      <c r="H9" s="6" t="s">
        <v>65</v>
      </c>
      <c r="I9" s="6" t="s">
        <v>46</v>
      </c>
      <c r="J9" s="6" t="s">
        <v>66</v>
      </c>
      <c r="K9" s="6" t="s">
        <v>29</v>
      </c>
      <c r="L9" s="7" t="n">
        <v>14000</v>
      </c>
      <c r="M9" s="8" t="n">
        <v>43770</v>
      </c>
      <c r="N9" s="6" t="s">
        <v>30</v>
      </c>
      <c r="O9" s="8" t="n">
        <v>44866</v>
      </c>
      <c r="P9" s="6" t="s">
        <v>67</v>
      </c>
      <c r="Q9" s="13" t="n">
        <v>98</v>
      </c>
      <c r="R9" s="6" t="n">
        <v>62</v>
      </c>
      <c r="S9" s="6" t="n">
        <v>4</v>
      </c>
      <c r="T9" s="6" t="n">
        <v>23</v>
      </c>
    </row>
    <row r="10" customFormat="false" ht="15" hidden="false" customHeight="false" outlineLevel="0" collapsed="false">
      <c r="A10" s="2" t="s">
        <v>68</v>
      </c>
      <c r="B10" s="2" t="s">
        <v>69</v>
      </c>
      <c r="C10" s="2" t="s">
        <v>22</v>
      </c>
      <c r="D10" s="2" t="n">
        <v>33</v>
      </c>
      <c r="E10" s="2" t="s">
        <v>23</v>
      </c>
      <c r="F10" s="2" t="s">
        <v>34</v>
      </c>
      <c r="G10" s="2" t="s">
        <v>25</v>
      </c>
      <c r="H10" s="2" t="s">
        <v>70</v>
      </c>
      <c r="I10" s="2" t="s">
        <v>27</v>
      </c>
      <c r="J10" s="2" t="s">
        <v>71</v>
      </c>
      <c r="K10" s="2" t="s">
        <v>39</v>
      </c>
      <c r="L10" s="3" t="n">
        <v>9000</v>
      </c>
      <c r="M10" s="4" t="n">
        <v>43800</v>
      </c>
      <c r="N10" s="2" t="s">
        <v>40</v>
      </c>
      <c r="O10" s="2"/>
      <c r="P10" s="2"/>
      <c r="Q10" s="10" t="n">
        <v>70</v>
      </c>
      <c r="R10" s="2" t="n">
        <v>54</v>
      </c>
      <c r="S10" s="2" t="n">
        <v>17</v>
      </c>
      <c r="T10" s="2" t="n">
        <v>49</v>
      </c>
    </row>
    <row r="11" customFormat="false" ht="15" hidden="false" customHeight="false" outlineLevel="0" collapsed="false">
      <c r="A11" s="6" t="s">
        <v>72</v>
      </c>
      <c r="B11" s="6" t="s">
        <v>73</v>
      </c>
      <c r="C11" s="6" t="s">
        <v>43</v>
      </c>
      <c r="D11" s="6" t="n">
        <v>24</v>
      </c>
      <c r="E11" s="6" t="s">
        <v>53</v>
      </c>
      <c r="F11" s="6" t="s">
        <v>34</v>
      </c>
      <c r="G11" s="6" t="s">
        <v>25</v>
      </c>
      <c r="H11" s="6" t="s">
        <v>65</v>
      </c>
      <c r="I11" s="6" t="s">
        <v>27</v>
      </c>
      <c r="J11" s="6" t="s">
        <v>28</v>
      </c>
      <c r="K11" s="6" t="s">
        <v>50</v>
      </c>
      <c r="L11" s="7" t="n">
        <v>13000</v>
      </c>
      <c r="M11" s="8" t="n">
        <v>45139</v>
      </c>
      <c r="N11" s="6" t="s">
        <v>40</v>
      </c>
      <c r="O11" s="6"/>
      <c r="P11" s="6"/>
      <c r="Q11" s="13" t="n">
        <v>93</v>
      </c>
      <c r="R11" s="6" t="n">
        <v>78</v>
      </c>
      <c r="S11" s="6" t="n">
        <v>3</v>
      </c>
      <c r="T11" s="6" t="n">
        <v>15</v>
      </c>
    </row>
    <row r="12" customFormat="false" ht="15" hidden="false" customHeight="false" outlineLevel="0" collapsed="false">
      <c r="A12" s="2" t="s">
        <v>74</v>
      </c>
      <c r="B12" s="2" t="s">
        <v>75</v>
      </c>
      <c r="C12" s="2" t="s">
        <v>22</v>
      </c>
      <c r="D12" s="2" t="n">
        <v>31</v>
      </c>
      <c r="E12" s="2" t="s">
        <v>23</v>
      </c>
      <c r="F12" s="2" t="s">
        <v>24</v>
      </c>
      <c r="G12" s="2" t="s">
        <v>35</v>
      </c>
      <c r="H12" s="2" t="s">
        <v>26</v>
      </c>
      <c r="I12" s="2" t="s">
        <v>76</v>
      </c>
      <c r="J12" s="2" t="s">
        <v>77</v>
      </c>
      <c r="K12" s="2" t="s">
        <v>29</v>
      </c>
      <c r="L12" s="3" t="n">
        <v>9000</v>
      </c>
      <c r="M12" s="4" t="n">
        <v>43252</v>
      </c>
      <c r="N12" s="2" t="s">
        <v>40</v>
      </c>
      <c r="O12" s="2"/>
      <c r="P12" s="2"/>
      <c r="Q12" s="5" t="n">
        <v>64</v>
      </c>
      <c r="R12" s="2" t="n">
        <v>82</v>
      </c>
      <c r="S12" s="2" t="n">
        <v>7</v>
      </c>
      <c r="T12" s="2" t="n">
        <v>17</v>
      </c>
    </row>
    <row r="13" customFormat="false" ht="15" hidden="false" customHeight="false" outlineLevel="0" collapsed="false">
      <c r="A13" s="6" t="s">
        <v>78</v>
      </c>
      <c r="B13" s="6" t="s">
        <v>79</v>
      </c>
      <c r="C13" s="6" t="s">
        <v>43</v>
      </c>
      <c r="D13" s="6" t="n">
        <v>48</v>
      </c>
      <c r="E13" s="6" t="s">
        <v>53</v>
      </c>
      <c r="F13" s="6" t="s">
        <v>24</v>
      </c>
      <c r="G13" s="6" t="s">
        <v>25</v>
      </c>
      <c r="H13" s="6" t="s">
        <v>36</v>
      </c>
      <c r="I13" s="6" t="s">
        <v>27</v>
      </c>
      <c r="J13" s="6" t="s">
        <v>71</v>
      </c>
      <c r="K13" s="6" t="s">
        <v>39</v>
      </c>
      <c r="L13" s="7" t="n">
        <v>8000</v>
      </c>
      <c r="M13" s="8" t="n">
        <v>45108</v>
      </c>
      <c r="N13" s="6" t="s">
        <v>40</v>
      </c>
      <c r="O13" s="6"/>
      <c r="P13" s="6"/>
      <c r="Q13" s="9" t="n">
        <v>68</v>
      </c>
      <c r="R13" s="6" t="n">
        <v>79</v>
      </c>
      <c r="S13" s="6" t="n">
        <v>1</v>
      </c>
      <c r="T13" s="6" t="n">
        <v>43</v>
      </c>
    </row>
    <row r="14" customFormat="false" ht="15" hidden="false" customHeight="false" outlineLevel="0" collapsed="false">
      <c r="A14" s="2" t="s">
        <v>80</v>
      </c>
      <c r="B14" s="2" t="s">
        <v>81</v>
      </c>
      <c r="C14" s="2" t="s">
        <v>43</v>
      </c>
      <c r="D14" s="2" t="n">
        <v>23</v>
      </c>
      <c r="E14" s="2" t="s">
        <v>44</v>
      </c>
      <c r="F14" s="2" t="s">
        <v>24</v>
      </c>
      <c r="G14" s="2" t="s">
        <v>25</v>
      </c>
      <c r="H14" s="2" t="s">
        <v>36</v>
      </c>
      <c r="I14" s="2" t="s">
        <v>27</v>
      </c>
      <c r="J14" s="2" t="s">
        <v>82</v>
      </c>
      <c r="K14" s="2" t="s">
        <v>50</v>
      </c>
      <c r="L14" s="3" t="n">
        <v>8000</v>
      </c>
      <c r="M14" s="4" t="n">
        <v>44774</v>
      </c>
      <c r="N14" s="2" t="s">
        <v>40</v>
      </c>
      <c r="O14" s="2"/>
      <c r="P14" s="2"/>
      <c r="Q14" s="10" t="n">
        <v>75</v>
      </c>
      <c r="R14" s="2" t="n">
        <v>54</v>
      </c>
      <c r="S14" s="2" t="n">
        <v>14</v>
      </c>
      <c r="T14" s="2" t="n">
        <v>51</v>
      </c>
    </row>
    <row r="15" customFormat="false" ht="15" hidden="false" customHeight="false" outlineLevel="0" collapsed="false">
      <c r="A15" s="6" t="s">
        <v>83</v>
      </c>
      <c r="B15" s="6" t="s">
        <v>84</v>
      </c>
      <c r="C15" s="6" t="s">
        <v>22</v>
      </c>
      <c r="D15" s="6" t="n">
        <v>54</v>
      </c>
      <c r="E15" s="6" t="s">
        <v>23</v>
      </c>
      <c r="F15" s="6" t="s">
        <v>45</v>
      </c>
      <c r="G15" s="6" t="s">
        <v>35</v>
      </c>
      <c r="H15" s="6" t="s">
        <v>70</v>
      </c>
      <c r="I15" s="6" t="s">
        <v>61</v>
      </c>
      <c r="J15" s="6" t="s">
        <v>62</v>
      </c>
      <c r="K15" s="6" t="s">
        <v>29</v>
      </c>
      <c r="L15" s="7" t="n">
        <v>10000</v>
      </c>
      <c r="M15" s="8" t="n">
        <v>43160</v>
      </c>
      <c r="N15" s="6" t="s">
        <v>40</v>
      </c>
      <c r="O15" s="6"/>
      <c r="P15" s="6"/>
      <c r="Q15" s="11" t="n">
        <v>84</v>
      </c>
      <c r="R15" s="6" t="n">
        <v>50</v>
      </c>
      <c r="S15" s="6" t="n">
        <v>12</v>
      </c>
      <c r="T15" s="6" t="n">
        <v>16</v>
      </c>
    </row>
    <row r="16" customFormat="false" ht="15" hidden="false" customHeight="false" outlineLevel="0" collapsed="false">
      <c r="A16" s="2" t="s">
        <v>85</v>
      </c>
      <c r="B16" s="2" t="s">
        <v>86</v>
      </c>
      <c r="C16" s="2" t="s">
        <v>22</v>
      </c>
      <c r="D16" s="2" t="n">
        <v>55</v>
      </c>
      <c r="E16" s="2" t="s">
        <v>23</v>
      </c>
      <c r="F16" s="2" t="s">
        <v>24</v>
      </c>
      <c r="G16" s="2" t="s">
        <v>25</v>
      </c>
      <c r="H16" s="2" t="s">
        <v>36</v>
      </c>
      <c r="I16" s="2" t="s">
        <v>76</v>
      </c>
      <c r="J16" s="2" t="s">
        <v>87</v>
      </c>
      <c r="K16" s="2" t="s">
        <v>29</v>
      </c>
      <c r="L16" s="3" t="n">
        <v>17000</v>
      </c>
      <c r="M16" s="4" t="n">
        <v>43101</v>
      </c>
      <c r="N16" s="2" t="s">
        <v>40</v>
      </c>
      <c r="O16" s="2"/>
      <c r="P16" s="2"/>
      <c r="Q16" s="12" t="n">
        <v>97</v>
      </c>
      <c r="R16" s="2" t="n">
        <v>80</v>
      </c>
      <c r="S16" s="2" t="n">
        <v>16</v>
      </c>
      <c r="T16" s="2" t="n">
        <v>58</v>
      </c>
    </row>
    <row r="17" customFormat="false" ht="15" hidden="false" customHeight="false" outlineLevel="0" collapsed="false">
      <c r="A17" s="6" t="s">
        <v>88</v>
      </c>
      <c r="B17" s="6" t="s">
        <v>89</v>
      </c>
      <c r="C17" s="6" t="s">
        <v>22</v>
      </c>
      <c r="D17" s="6" t="n">
        <v>36</v>
      </c>
      <c r="E17" s="6" t="s">
        <v>23</v>
      </c>
      <c r="F17" s="6" t="s">
        <v>24</v>
      </c>
      <c r="G17" s="6" t="s">
        <v>35</v>
      </c>
      <c r="H17" s="6" t="s">
        <v>65</v>
      </c>
      <c r="I17" s="6" t="s">
        <v>46</v>
      </c>
      <c r="J17" s="6" t="s">
        <v>90</v>
      </c>
      <c r="K17" s="6" t="s">
        <v>29</v>
      </c>
      <c r="L17" s="7" t="n">
        <v>12500</v>
      </c>
      <c r="M17" s="8" t="n">
        <v>44470</v>
      </c>
      <c r="N17" s="6" t="s">
        <v>91</v>
      </c>
      <c r="O17" s="8" t="n">
        <v>46023</v>
      </c>
      <c r="P17" s="6" t="s">
        <v>92</v>
      </c>
      <c r="Q17" s="9" t="n">
        <v>65</v>
      </c>
      <c r="R17" s="6" t="n">
        <v>76</v>
      </c>
      <c r="S17" s="6" t="n">
        <v>18</v>
      </c>
      <c r="T17" s="6" t="n">
        <v>36</v>
      </c>
    </row>
    <row r="18" customFormat="false" ht="15" hidden="false" customHeight="false" outlineLevel="0" collapsed="false">
      <c r="A18" s="2" t="s">
        <v>93</v>
      </c>
      <c r="B18" s="2" t="s">
        <v>94</v>
      </c>
      <c r="C18" s="2" t="s">
        <v>43</v>
      </c>
      <c r="D18" s="2" t="n">
        <v>31</v>
      </c>
      <c r="E18" s="2" t="s">
        <v>53</v>
      </c>
      <c r="F18" s="2" t="s">
        <v>24</v>
      </c>
      <c r="G18" s="2" t="s">
        <v>25</v>
      </c>
      <c r="H18" s="2" t="s">
        <v>65</v>
      </c>
      <c r="I18" s="2" t="s">
        <v>27</v>
      </c>
      <c r="J18" s="2" t="s">
        <v>95</v>
      </c>
      <c r="K18" s="2" t="s">
        <v>50</v>
      </c>
      <c r="L18" s="3" t="n">
        <v>10500</v>
      </c>
      <c r="M18" s="4" t="n">
        <v>43313</v>
      </c>
      <c r="N18" s="2" t="s">
        <v>40</v>
      </c>
      <c r="O18" s="2"/>
      <c r="P18" s="2"/>
      <c r="Q18" s="12" t="n">
        <v>99</v>
      </c>
      <c r="R18" s="2" t="n">
        <v>86</v>
      </c>
      <c r="S18" s="2" t="n">
        <v>3</v>
      </c>
      <c r="T18" s="2" t="n">
        <v>4</v>
      </c>
    </row>
    <row r="19" customFormat="false" ht="15" hidden="false" customHeight="false" outlineLevel="0" collapsed="false">
      <c r="A19" s="6" t="s">
        <v>96</v>
      </c>
      <c r="B19" s="6" t="s">
        <v>97</v>
      </c>
      <c r="C19" s="6" t="s">
        <v>43</v>
      </c>
      <c r="D19" s="6" t="n">
        <v>29</v>
      </c>
      <c r="E19" s="6" t="s">
        <v>44</v>
      </c>
      <c r="F19" s="6" t="s">
        <v>34</v>
      </c>
      <c r="G19" s="6" t="s">
        <v>35</v>
      </c>
      <c r="H19" s="6" t="s">
        <v>36</v>
      </c>
      <c r="I19" s="6" t="s">
        <v>54</v>
      </c>
      <c r="J19" s="6" t="s">
        <v>55</v>
      </c>
      <c r="K19" s="6" t="s">
        <v>39</v>
      </c>
      <c r="L19" s="7" t="n">
        <v>14500</v>
      </c>
      <c r="M19" s="8" t="n">
        <v>43405</v>
      </c>
      <c r="N19" s="6" t="s">
        <v>40</v>
      </c>
      <c r="O19" s="6"/>
      <c r="P19" s="6"/>
      <c r="Q19" s="11" t="n">
        <v>72</v>
      </c>
      <c r="R19" s="6" t="n">
        <v>69</v>
      </c>
      <c r="S19" s="6" t="n">
        <v>3</v>
      </c>
      <c r="T19" s="6" t="n">
        <v>60</v>
      </c>
    </row>
    <row r="20" customFormat="false" ht="15" hidden="false" customHeight="false" outlineLevel="0" collapsed="false">
      <c r="A20" s="2" t="s">
        <v>98</v>
      </c>
      <c r="B20" s="2" t="s">
        <v>99</v>
      </c>
      <c r="C20" s="2" t="s">
        <v>22</v>
      </c>
      <c r="D20" s="2" t="n">
        <v>44</v>
      </c>
      <c r="E20" s="2" t="s">
        <v>23</v>
      </c>
      <c r="F20" s="2" t="s">
        <v>45</v>
      </c>
      <c r="G20" s="2" t="s">
        <v>25</v>
      </c>
      <c r="H20" s="2" t="s">
        <v>36</v>
      </c>
      <c r="I20" s="2" t="s">
        <v>46</v>
      </c>
      <c r="J20" s="2" t="s">
        <v>66</v>
      </c>
      <c r="K20" s="2" t="s">
        <v>39</v>
      </c>
      <c r="L20" s="3" t="n">
        <v>9500</v>
      </c>
      <c r="M20" s="4" t="n">
        <v>45778</v>
      </c>
      <c r="N20" s="2" t="s">
        <v>40</v>
      </c>
      <c r="O20" s="2"/>
      <c r="P20" s="2"/>
      <c r="Q20" s="5" t="n">
        <v>56</v>
      </c>
      <c r="R20" s="2" t="n">
        <v>55</v>
      </c>
      <c r="S20" s="2" t="n">
        <v>20</v>
      </c>
      <c r="T20" s="2" t="n">
        <v>27</v>
      </c>
    </row>
    <row r="21" customFormat="false" ht="15" hidden="false" customHeight="false" outlineLevel="0" collapsed="false">
      <c r="A21" s="6" t="s">
        <v>100</v>
      </c>
      <c r="B21" s="6" t="s">
        <v>101</v>
      </c>
      <c r="C21" s="6" t="s">
        <v>22</v>
      </c>
      <c r="D21" s="6" t="n">
        <v>31</v>
      </c>
      <c r="E21" s="6" t="s">
        <v>23</v>
      </c>
      <c r="F21" s="6" t="s">
        <v>45</v>
      </c>
      <c r="G21" s="6" t="s">
        <v>25</v>
      </c>
      <c r="H21" s="6" t="s">
        <v>70</v>
      </c>
      <c r="I21" s="6" t="s">
        <v>46</v>
      </c>
      <c r="J21" s="6" t="s">
        <v>47</v>
      </c>
      <c r="K21" s="6" t="s">
        <v>39</v>
      </c>
      <c r="L21" s="7" t="n">
        <v>13000</v>
      </c>
      <c r="M21" s="8" t="n">
        <v>43497</v>
      </c>
      <c r="N21" s="6" t="s">
        <v>40</v>
      </c>
      <c r="O21" s="6"/>
      <c r="P21" s="6"/>
      <c r="Q21" s="11" t="n">
        <v>77</v>
      </c>
      <c r="R21" s="6" t="n">
        <v>59</v>
      </c>
      <c r="S21" s="6" t="n">
        <v>17</v>
      </c>
      <c r="T21" s="6" t="n">
        <v>2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22</v>
      </c>
      <c r="D22" s="2" t="n">
        <v>49</v>
      </c>
      <c r="E22" s="2" t="s">
        <v>23</v>
      </c>
      <c r="F22" s="2" t="s">
        <v>34</v>
      </c>
      <c r="G22" s="2" t="s">
        <v>25</v>
      </c>
      <c r="H22" s="2" t="s">
        <v>26</v>
      </c>
      <c r="I22" s="2" t="s">
        <v>54</v>
      </c>
      <c r="J22" s="2" t="s">
        <v>55</v>
      </c>
      <c r="K22" s="2" t="s">
        <v>39</v>
      </c>
      <c r="L22" s="3" t="n">
        <v>11500</v>
      </c>
      <c r="M22" s="4" t="n">
        <v>45170</v>
      </c>
      <c r="N22" s="2" t="s">
        <v>40</v>
      </c>
      <c r="O22" s="2"/>
      <c r="P22" s="2"/>
      <c r="Q22" s="5" t="n">
        <v>68</v>
      </c>
      <c r="R22" s="2" t="n">
        <v>89</v>
      </c>
      <c r="S22" s="2" t="n">
        <v>4</v>
      </c>
      <c r="T22" s="2" t="n">
        <v>59</v>
      </c>
    </row>
    <row r="23" customFormat="false" ht="15" hidden="false" customHeight="false" outlineLevel="0" collapsed="false">
      <c r="A23" s="6" t="s">
        <v>104</v>
      </c>
      <c r="B23" s="6" t="s">
        <v>105</v>
      </c>
      <c r="C23" s="6" t="s">
        <v>22</v>
      </c>
      <c r="D23" s="6" t="n">
        <v>37</v>
      </c>
      <c r="E23" s="6" t="s">
        <v>53</v>
      </c>
      <c r="F23" s="6" t="s">
        <v>45</v>
      </c>
      <c r="G23" s="6" t="s">
        <v>35</v>
      </c>
      <c r="H23" s="6" t="s">
        <v>65</v>
      </c>
      <c r="I23" s="6" t="s">
        <v>37</v>
      </c>
      <c r="J23" s="6" t="s">
        <v>106</v>
      </c>
      <c r="K23" s="6" t="s">
        <v>50</v>
      </c>
      <c r="L23" s="7" t="n">
        <v>7000</v>
      </c>
      <c r="M23" s="8" t="n">
        <v>43647</v>
      </c>
      <c r="N23" s="6" t="s">
        <v>40</v>
      </c>
      <c r="O23" s="6"/>
      <c r="P23" s="6"/>
      <c r="Q23" s="9" t="n">
        <v>62</v>
      </c>
      <c r="R23" s="6" t="n">
        <v>80</v>
      </c>
      <c r="S23" s="6" t="n">
        <v>7</v>
      </c>
      <c r="T23" s="6" t="n">
        <v>12</v>
      </c>
    </row>
    <row r="24" customFormat="false" ht="15" hidden="false" customHeight="false" outlineLevel="0" collapsed="false">
      <c r="A24" s="2" t="s">
        <v>107</v>
      </c>
      <c r="B24" s="2" t="s">
        <v>108</v>
      </c>
      <c r="C24" s="2" t="s">
        <v>22</v>
      </c>
      <c r="D24" s="2" t="n">
        <v>25</v>
      </c>
      <c r="E24" s="2" t="s">
        <v>53</v>
      </c>
      <c r="F24" s="2" t="s">
        <v>45</v>
      </c>
      <c r="G24" s="2" t="s">
        <v>25</v>
      </c>
      <c r="H24" s="2" t="s">
        <v>65</v>
      </c>
      <c r="I24" s="2" t="s">
        <v>54</v>
      </c>
      <c r="J24" s="2" t="s">
        <v>109</v>
      </c>
      <c r="K24" s="2" t="s">
        <v>50</v>
      </c>
      <c r="L24" s="3" t="n">
        <v>8500</v>
      </c>
      <c r="M24" s="4" t="n">
        <v>45597</v>
      </c>
      <c r="N24" s="2" t="s">
        <v>40</v>
      </c>
      <c r="O24" s="2"/>
      <c r="P24" s="2"/>
      <c r="Q24" s="12" t="n">
        <v>94</v>
      </c>
      <c r="R24" s="2" t="n">
        <v>71</v>
      </c>
      <c r="S24" s="2" t="n">
        <v>0</v>
      </c>
      <c r="T24" s="2" t="n">
        <v>7</v>
      </c>
    </row>
    <row r="25" customFormat="false" ht="15" hidden="false" customHeight="false" outlineLevel="0" collapsed="false">
      <c r="A25" s="6" t="s">
        <v>110</v>
      </c>
      <c r="B25" s="6" t="s">
        <v>111</v>
      </c>
      <c r="C25" s="6" t="s">
        <v>22</v>
      </c>
      <c r="D25" s="6" t="n">
        <v>50</v>
      </c>
      <c r="E25" s="6" t="s">
        <v>23</v>
      </c>
      <c r="F25" s="6" t="s">
        <v>24</v>
      </c>
      <c r="G25" s="6" t="s">
        <v>25</v>
      </c>
      <c r="H25" s="6" t="s">
        <v>65</v>
      </c>
      <c r="I25" s="6" t="s">
        <v>46</v>
      </c>
      <c r="J25" s="6" t="s">
        <v>66</v>
      </c>
      <c r="K25" s="6" t="s">
        <v>39</v>
      </c>
      <c r="L25" s="7" t="n">
        <v>13000</v>
      </c>
      <c r="M25" s="8" t="n">
        <v>43647</v>
      </c>
      <c r="N25" s="6" t="s">
        <v>30</v>
      </c>
      <c r="O25" s="8" t="n">
        <v>45383</v>
      </c>
      <c r="P25" s="6" t="s">
        <v>58</v>
      </c>
      <c r="Q25" s="9" t="n">
        <v>56</v>
      </c>
      <c r="R25" s="6" t="n">
        <v>95</v>
      </c>
      <c r="S25" s="6" t="n">
        <v>13</v>
      </c>
      <c r="T25" s="6" t="n">
        <v>0</v>
      </c>
    </row>
    <row r="26" customFormat="false" ht="15" hidden="false" customHeight="false" outlineLevel="0" collapsed="false">
      <c r="A26" s="2" t="s">
        <v>112</v>
      </c>
      <c r="B26" s="2" t="s">
        <v>113</v>
      </c>
      <c r="C26" s="2" t="s">
        <v>22</v>
      </c>
      <c r="D26" s="2" t="n">
        <v>47</v>
      </c>
      <c r="E26" s="2" t="s">
        <v>23</v>
      </c>
      <c r="F26" s="2" t="s">
        <v>34</v>
      </c>
      <c r="G26" s="2" t="s">
        <v>25</v>
      </c>
      <c r="H26" s="2" t="s">
        <v>70</v>
      </c>
      <c r="I26" s="2" t="s">
        <v>46</v>
      </c>
      <c r="J26" s="2" t="s">
        <v>114</v>
      </c>
      <c r="K26" s="2" t="s">
        <v>39</v>
      </c>
      <c r="L26" s="3" t="n">
        <v>11000</v>
      </c>
      <c r="M26" s="4" t="n">
        <v>45444</v>
      </c>
      <c r="N26" s="2" t="s">
        <v>40</v>
      </c>
      <c r="O26" s="2"/>
      <c r="P26" s="2"/>
      <c r="Q26" s="5" t="n">
        <v>67</v>
      </c>
      <c r="R26" s="2" t="n">
        <v>94</v>
      </c>
      <c r="S26" s="2" t="n">
        <v>9</v>
      </c>
      <c r="T26" s="2" t="n">
        <v>35</v>
      </c>
    </row>
    <row r="27" customFormat="false" ht="15" hidden="false" customHeight="false" outlineLevel="0" collapsed="false">
      <c r="A27" s="6" t="s">
        <v>115</v>
      </c>
      <c r="B27" s="6" t="s">
        <v>116</v>
      </c>
      <c r="C27" s="6" t="s">
        <v>22</v>
      </c>
      <c r="D27" s="6" t="n">
        <v>55</v>
      </c>
      <c r="E27" s="6" t="s">
        <v>23</v>
      </c>
      <c r="F27" s="6" t="s">
        <v>45</v>
      </c>
      <c r="G27" s="6" t="s">
        <v>35</v>
      </c>
      <c r="H27" s="6" t="s">
        <v>26</v>
      </c>
      <c r="I27" s="6" t="s">
        <v>61</v>
      </c>
      <c r="J27" s="6" t="s">
        <v>117</v>
      </c>
      <c r="K27" s="6" t="s">
        <v>50</v>
      </c>
      <c r="L27" s="7" t="n">
        <v>8500</v>
      </c>
      <c r="M27" s="8" t="n">
        <v>45566</v>
      </c>
      <c r="N27" s="6" t="s">
        <v>40</v>
      </c>
      <c r="O27" s="6"/>
      <c r="P27" s="6"/>
      <c r="Q27" s="13" t="n">
        <v>98</v>
      </c>
      <c r="R27" s="6" t="n">
        <v>91</v>
      </c>
      <c r="S27" s="6" t="n">
        <v>10</v>
      </c>
      <c r="T27" s="6" t="n">
        <v>29</v>
      </c>
    </row>
    <row r="28" customFormat="false" ht="15" hidden="false" customHeight="false" outlineLevel="0" collapsed="false">
      <c r="A28" s="2" t="s">
        <v>118</v>
      </c>
      <c r="B28" s="2" t="s">
        <v>119</v>
      </c>
      <c r="C28" s="2" t="s">
        <v>43</v>
      </c>
      <c r="D28" s="2" t="n">
        <v>49</v>
      </c>
      <c r="E28" s="2" t="s">
        <v>44</v>
      </c>
      <c r="F28" s="2" t="s">
        <v>45</v>
      </c>
      <c r="G28" s="2" t="s">
        <v>25</v>
      </c>
      <c r="H28" s="2" t="s">
        <v>70</v>
      </c>
      <c r="I28" s="2" t="s">
        <v>120</v>
      </c>
      <c r="J28" s="2" t="s">
        <v>121</v>
      </c>
      <c r="K28" s="2" t="s">
        <v>29</v>
      </c>
      <c r="L28" s="3" t="n">
        <v>7500</v>
      </c>
      <c r="M28" s="4" t="n">
        <v>44287</v>
      </c>
      <c r="N28" s="2" t="s">
        <v>40</v>
      </c>
      <c r="O28" s="2"/>
      <c r="P28" s="2"/>
      <c r="Q28" s="5" t="n">
        <v>69</v>
      </c>
      <c r="R28" s="2" t="n">
        <v>51</v>
      </c>
      <c r="S28" s="2" t="n">
        <v>1</v>
      </c>
      <c r="T28" s="2" t="n">
        <v>15</v>
      </c>
    </row>
    <row r="29" customFormat="false" ht="15" hidden="false" customHeight="false" outlineLevel="0" collapsed="false">
      <c r="A29" s="6" t="s">
        <v>122</v>
      </c>
      <c r="B29" s="6" t="s">
        <v>123</v>
      </c>
      <c r="C29" s="6" t="s">
        <v>22</v>
      </c>
      <c r="D29" s="6" t="n">
        <v>52</v>
      </c>
      <c r="E29" s="6" t="s">
        <v>53</v>
      </c>
      <c r="F29" s="6" t="s">
        <v>34</v>
      </c>
      <c r="G29" s="6" t="s">
        <v>25</v>
      </c>
      <c r="H29" s="6" t="s">
        <v>36</v>
      </c>
      <c r="I29" s="6" t="s">
        <v>61</v>
      </c>
      <c r="J29" s="6" t="s">
        <v>124</v>
      </c>
      <c r="K29" s="6" t="s">
        <v>39</v>
      </c>
      <c r="L29" s="7" t="n">
        <v>7000</v>
      </c>
      <c r="M29" s="8" t="n">
        <v>43647</v>
      </c>
      <c r="N29" s="6" t="s">
        <v>40</v>
      </c>
      <c r="O29" s="6"/>
      <c r="P29" s="6"/>
      <c r="Q29" s="9" t="n">
        <v>62</v>
      </c>
      <c r="R29" s="6" t="n">
        <v>61</v>
      </c>
      <c r="S29" s="6" t="n">
        <v>16</v>
      </c>
      <c r="T29" s="6" t="n">
        <v>29</v>
      </c>
    </row>
    <row r="30" customFormat="false" ht="15" hidden="false" customHeight="false" outlineLevel="0" collapsed="false">
      <c r="A30" s="2" t="s">
        <v>125</v>
      </c>
      <c r="B30" s="2" t="s">
        <v>126</v>
      </c>
      <c r="C30" s="2" t="s">
        <v>22</v>
      </c>
      <c r="D30" s="2" t="n">
        <v>51</v>
      </c>
      <c r="E30" s="2" t="s">
        <v>23</v>
      </c>
      <c r="F30" s="2" t="s">
        <v>24</v>
      </c>
      <c r="G30" s="2" t="s">
        <v>25</v>
      </c>
      <c r="H30" s="2" t="s">
        <v>65</v>
      </c>
      <c r="I30" s="2" t="s">
        <v>37</v>
      </c>
      <c r="J30" s="2" t="s">
        <v>127</v>
      </c>
      <c r="K30" s="2" t="s">
        <v>50</v>
      </c>
      <c r="L30" s="3" t="n">
        <v>9000</v>
      </c>
      <c r="M30" s="4" t="n">
        <v>45717</v>
      </c>
      <c r="N30" s="2" t="s">
        <v>30</v>
      </c>
      <c r="O30" s="4" t="n">
        <v>46054</v>
      </c>
      <c r="P30" s="2" t="s">
        <v>128</v>
      </c>
      <c r="Q30" s="12" t="n">
        <v>100</v>
      </c>
      <c r="R30" s="2" t="n">
        <v>67</v>
      </c>
      <c r="S30" s="2" t="n">
        <v>16</v>
      </c>
      <c r="T30" s="2" t="n">
        <v>31</v>
      </c>
    </row>
    <row r="31" customFormat="false" ht="15" hidden="false" customHeight="false" outlineLevel="0" collapsed="false">
      <c r="A31" s="6" t="s">
        <v>129</v>
      </c>
      <c r="B31" s="6" t="s">
        <v>130</v>
      </c>
      <c r="C31" s="6" t="s">
        <v>22</v>
      </c>
      <c r="D31" s="6" t="n">
        <v>49</v>
      </c>
      <c r="E31" s="6" t="s">
        <v>23</v>
      </c>
      <c r="F31" s="6" t="s">
        <v>34</v>
      </c>
      <c r="G31" s="6" t="s">
        <v>25</v>
      </c>
      <c r="H31" s="6" t="s">
        <v>70</v>
      </c>
      <c r="I31" s="6" t="s">
        <v>54</v>
      </c>
      <c r="J31" s="6" t="s">
        <v>109</v>
      </c>
      <c r="K31" s="6" t="s">
        <v>39</v>
      </c>
      <c r="L31" s="7" t="n">
        <v>12500</v>
      </c>
      <c r="M31" s="8" t="n">
        <v>43891</v>
      </c>
      <c r="N31" s="6" t="s">
        <v>40</v>
      </c>
      <c r="O31" s="6"/>
      <c r="P31" s="6"/>
      <c r="Q31" s="9" t="n">
        <v>62</v>
      </c>
      <c r="R31" s="6" t="n">
        <v>74</v>
      </c>
      <c r="S31" s="6" t="n">
        <v>4</v>
      </c>
      <c r="T31" s="6" t="n">
        <v>45</v>
      </c>
    </row>
    <row r="32" customFormat="false" ht="15" hidden="false" customHeight="false" outlineLevel="0" collapsed="false">
      <c r="A32" s="2" t="s">
        <v>131</v>
      </c>
      <c r="B32" s="2" t="s">
        <v>132</v>
      </c>
      <c r="C32" s="2" t="s">
        <v>43</v>
      </c>
      <c r="D32" s="2" t="n">
        <v>37</v>
      </c>
      <c r="E32" s="2" t="s">
        <v>53</v>
      </c>
      <c r="F32" s="2" t="s">
        <v>45</v>
      </c>
      <c r="G32" s="2" t="s">
        <v>25</v>
      </c>
      <c r="H32" s="2" t="s">
        <v>70</v>
      </c>
      <c r="I32" s="2" t="s">
        <v>76</v>
      </c>
      <c r="J32" s="2" t="s">
        <v>133</v>
      </c>
      <c r="K32" s="2" t="s">
        <v>50</v>
      </c>
      <c r="L32" s="3" t="n">
        <v>15000</v>
      </c>
      <c r="M32" s="4" t="n">
        <v>43374</v>
      </c>
      <c r="N32" s="2" t="s">
        <v>91</v>
      </c>
      <c r="O32" s="4" t="n">
        <v>45870</v>
      </c>
      <c r="P32" s="2" t="s">
        <v>134</v>
      </c>
      <c r="Q32" s="10" t="n">
        <v>82</v>
      </c>
      <c r="R32" s="2" t="n">
        <v>69</v>
      </c>
      <c r="S32" s="2" t="n">
        <v>12</v>
      </c>
      <c r="T32" s="2" t="n">
        <v>54</v>
      </c>
    </row>
    <row r="33" customFormat="false" ht="15" hidden="false" customHeight="false" outlineLevel="0" collapsed="false">
      <c r="A33" s="6" t="s">
        <v>135</v>
      </c>
      <c r="B33" s="6" t="s">
        <v>136</v>
      </c>
      <c r="C33" s="6" t="s">
        <v>43</v>
      </c>
      <c r="D33" s="6" t="n">
        <v>50</v>
      </c>
      <c r="E33" s="6" t="s">
        <v>44</v>
      </c>
      <c r="F33" s="6" t="s">
        <v>45</v>
      </c>
      <c r="G33" s="6" t="s">
        <v>25</v>
      </c>
      <c r="H33" s="6" t="s">
        <v>36</v>
      </c>
      <c r="I33" s="6" t="s">
        <v>61</v>
      </c>
      <c r="J33" s="6" t="s">
        <v>137</v>
      </c>
      <c r="K33" s="6" t="s">
        <v>39</v>
      </c>
      <c r="L33" s="7" t="n">
        <v>11500</v>
      </c>
      <c r="M33" s="8" t="n">
        <v>44044</v>
      </c>
      <c r="N33" s="6" t="s">
        <v>40</v>
      </c>
      <c r="O33" s="6"/>
      <c r="P33" s="6"/>
      <c r="Q33" s="9" t="n">
        <v>59</v>
      </c>
      <c r="R33" s="6" t="n">
        <v>89</v>
      </c>
      <c r="S33" s="6" t="n">
        <v>17</v>
      </c>
      <c r="T33" s="6" t="n">
        <v>1</v>
      </c>
    </row>
    <row r="34" customFormat="false" ht="15" hidden="false" customHeight="false" outlineLevel="0" collapsed="false">
      <c r="A34" s="2" t="s">
        <v>138</v>
      </c>
      <c r="B34" s="2" t="s">
        <v>139</v>
      </c>
      <c r="C34" s="2" t="s">
        <v>22</v>
      </c>
      <c r="D34" s="2" t="n">
        <v>26</v>
      </c>
      <c r="E34" s="2" t="s">
        <v>23</v>
      </c>
      <c r="F34" s="2" t="s">
        <v>34</v>
      </c>
      <c r="G34" s="2" t="s">
        <v>35</v>
      </c>
      <c r="H34" s="2" t="s">
        <v>36</v>
      </c>
      <c r="I34" s="2" t="s">
        <v>54</v>
      </c>
      <c r="J34" s="2" t="s">
        <v>140</v>
      </c>
      <c r="K34" s="2" t="s">
        <v>29</v>
      </c>
      <c r="L34" s="3" t="n">
        <v>13000</v>
      </c>
      <c r="M34" s="4" t="n">
        <v>45078</v>
      </c>
      <c r="N34" s="2" t="s">
        <v>40</v>
      </c>
      <c r="O34" s="2"/>
      <c r="P34" s="2"/>
      <c r="Q34" s="10" t="n">
        <v>84</v>
      </c>
      <c r="R34" s="2" t="n">
        <v>67</v>
      </c>
      <c r="S34" s="2" t="n">
        <v>13</v>
      </c>
      <c r="T34" s="2" t="n">
        <v>16</v>
      </c>
    </row>
    <row r="35" customFormat="false" ht="15" hidden="false" customHeight="false" outlineLevel="0" collapsed="false">
      <c r="A35" s="6" t="s">
        <v>141</v>
      </c>
      <c r="B35" s="6" t="s">
        <v>142</v>
      </c>
      <c r="C35" s="6" t="s">
        <v>43</v>
      </c>
      <c r="D35" s="6" t="n">
        <v>46</v>
      </c>
      <c r="E35" s="6" t="s">
        <v>44</v>
      </c>
      <c r="F35" s="6" t="s">
        <v>34</v>
      </c>
      <c r="G35" s="6" t="s">
        <v>35</v>
      </c>
      <c r="H35" s="6" t="s">
        <v>65</v>
      </c>
      <c r="I35" s="6" t="s">
        <v>37</v>
      </c>
      <c r="J35" s="6" t="s">
        <v>38</v>
      </c>
      <c r="K35" s="6" t="s">
        <v>29</v>
      </c>
      <c r="L35" s="7" t="n">
        <v>7000</v>
      </c>
      <c r="M35" s="8" t="n">
        <v>43922</v>
      </c>
      <c r="N35" s="6" t="s">
        <v>40</v>
      </c>
      <c r="O35" s="6"/>
      <c r="P35" s="6"/>
      <c r="Q35" s="9" t="n">
        <v>68</v>
      </c>
      <c r="R35" s="6" t="n">
        <v>80</v>
      </c>
      <c r="S35" s="6" t="n">
        <v>3</v>
      </c>
      <c r="T35" s="6" t="n">
        <v>36</v>
      </c>
    </row>
    <row r="36" customFormat="false" ht="15" hidden="false" customHeight="false" outlineLevel="0" collapsed="false">
      <c r="A36" s="2" t="s">
        <v>143</v>
      </c>
      <c r="B36" s="2" t="s">
        <v>144</v>
      </c>
      <c r="C36" s="2" t="s">
        <v>22</v>
      </c>
      <c r="D36" s="2" t="n">
        <v>42</v>
      </c>
      <c r="E36" s="2" t="s">
        <v>23</v>
      </c>
      <c r="F36" s="2" t="s">
        <v>24</v>
      </c>
      <c r="G36" s="2" t="s">
        <v>25</v>
      </c>
      <c r="H36" s="2" t="s">
        <v>36</v>
      </c>
      <c r="I36" s="2" t="s">
        <v>37</v>
      </c>
      <c r="J36" s="2" t="s">
        <v>38</v>
      </c>
      <c r="K36" s="2" t="s">
        <v>29</v>
      </c>
      <c r="L36" s="3" t="n">
        <v>7500</v>
      </c>
      <c r="M36" s="4" t="n">
        <v>43221</v>
      </c>
      <c r="N36" s="2" t="s">
        <v>91</v>
      </c>
      <c r="O36" s="4" t="n">
        <v>45839</v>
      </c>
      <c r="P36" s="2" t="s">
        <v>92</v>
      </c>
      <c r="Q36" s="10" t="n">
        <v>72</v>
      </c>
      <c r="R36" s="2" t="n">
        <v>54</v>
      </c>
      <c r="S36" s="2" t="n">
        <v>18</v>
      </c>
      <c r="T36" s="2" t="n">
        <v>44</v>
      </c>
    </row>
    <row r="37" customFormat="false" ht="15" hidden="false" customHeight="false" outlineLevel="0" collapsed="false">
      <c r="A37" s="6" t="s">
        <v>145</v>
      </c>
      <c r="B37" s="6" t="s">
        <v>146</v>
      </c>
      <c r="C37" s="6" t="s">
        <v>22</v>
      </c>
      <c r="D37" s="6" t="n">
        <v>50</v>
      </c>
      <c r="E37" s="6" t="s">
        <v>23</v>
      </c>
      <c r="F37" s="6" t="s">
        <v>45</v>
      </c>
      <c r="G37" s="6" t="s">
        <v>35</v>
      </c>
      <c r="H37" s="6" t="s">
        <v>26</v>
      </c>
      <c r="I37" s="6" t="s">
        <v>120</v>
      </c>
      <c r="J37" s="6" t="s">
        <v>147</v>
      </c>
      <c r="K37" s="6" t="s">
        <v>50</v>
      </c>
      <c r="L37" s="7" t="n">
        <v>12000</v>
      </c>
      <c r="M37" s="8" t="n">
        <v>44927</v>
      </c>
      <c r="N37" s="6" t="s">
        <v>40</v>
      </c>
      <c r="O37" s="6"/>
      <c r="P37" s="6"/>
      <c r="Q37" s="13" t="n">
        <v>86</v>
      </c>
      <c r="R37" s="6" t="n">
        <v>81</v>
      </c>
      <c r="S37" s="6" t="n">
        <v>3</v>
      </c>
      <c r="T37" s="6" t="n">
        <v>27</v>
      </c>
    </row>
    <row r="38" customFormat="false" ht="15" hidden="false" customHeight="false" outlineLevel="0" collapsed="false">
      <c r="A38" s="2" t="s">
        <v>148</v>
      </c>
      <c r="B38" s="2" t="s">
        <v>149</v>
      </c>
      <c r="C38" s="2" t="s">
        <v>22</v>
      </c>
      <c r="D38" s="2" t="n">
        <v>24</v>
      </c>
      <c r="E38" s="2" t="s">
        <v>23</v>
      </c>
      <c r="F38" s="2" t="s">
        <v>24</v>
      </c>
      <c r="G38" s="2" t="s">
        <v>35</v>
      </c>
      <c r="H38" s="2" t="s">
        <v>65</v>
      </c>
      <c r="I38" s="2" t="s">
        <v>120</v>
      </c>
      <c r="J38" s="2" t="s">
        <v>147</v>
      </c>
      <c r="K38" s="2" t="s">
        <v>50</v>
      </c>
      <c r="L38" s="3" t="n">
        <v>10500</v>
      </c>
      <c r="M38" s="4" t="n">
        <v>44713</v>
      </c>
      <c r="N38" s="2" t="s">
        <v>91</v>
      </c>
      <c r="O38" s="4" t="n">
        <v>45323</v>
      </c>
      <c r="P38" s="2" t="s">
        <v>150</v>
      </c>
      <c r="Q38" s="12" t="n">
        <v>88</v>
      </c>
      <c r="R38" s="2" t="n">
        <v>65</v>
      </c>
      <c r="S38" s="2" t="n">
        <v>14</v>
      </c>
      <c r="T38" s="2" t="n">
        <v>36</v>
      </c>
    </row>
    <row r="39" customFormat="false" ht="15" hidden="false" customHeight="false" outlineLevel="0" collapsed="false">
      <c r="A39" s="6" t="s">
        <v>151</v>
      </c>
      <c r="B39" s="6" t="s">
        <v>152</v>
      </c>
      <c r="C39" s="6" t="s">
        <v>43</v>
      </c>
      <c r="D39" s="6" t="n">
        <v>49</v>
      </c>
      <c r="E39" s="6" t="s">
        <v>53</v>
      </c>
      <c r="F39" s="6" t="s">
        <v>34</v>
      </c>
      <c r="G39" s="6" t="s">
        <v>25</v>
      </c>
      <c r="H39" s="6" t="s">
        <v>26</v>
      </c>
      <c r="I39" s="6" t="s">
        <v>27</v>
      </c>
      <c r="J39" s="6" t="s">
        <v>95</v>
      </c>
      <c r="K39" s="6" t="s">
        <v>50</v>
      </c>
      <c r="L39" s="7" t="n">
        <v>13500</v>
      </c>
      <c r="M39" s="8" t="n">
        <v>44835</v>
      </c>
      <c r="N39" s="6" t="s">
        <v>40</v>
      </c>
      <c r="O39" s="6"/>
      <c r="P39" s="6"/>
      <c r="Q39" s="11" t="n">
        <v>77</v>
      </c>
      <c r="R39" s="6" t="n">
        <v>85</v>
      </c>
      <c r="S39" s="6" t="n">
        <v>0</v>
      </c>
      <c r="T39" s="6" t="n">
        <v>33</v>
      </c>
    </row>
    <row r="40" customFormat="false" ht="15" hidden="false" customHeight="false" outlineLevel="0" collapsed="false">
      <c r="A40" s="2" t="s">
        <v>153</v>
      </c>
      <c r="B40" s="2" t="s">
        <v>154</v>
      </c>
      <c r="C40" s="2" t="s">
        <v>43</v>
      </c>
      <c r="D40" s="2" t="n">
        <v>45</v>
      </c>
      <c r="E40" s="2" t="s">
        <v>53</v>
      </c>
      <c r="F40" s="2" t="s">
        <v>24</v>
      </c>
      <c r="G40" s="2" t="s">
        <v>35</v>
      </c>
      <c r="H40" s="2" t="s">
        <v>70</v>
      </c>
      <c r="I40" s="2" t="s">
        <v>46</v>
      </c>
      <c r="J40" s="2" t="s">
        <v>47</v>
      </c>
      <c r="K40" s="2" t="s">
        <v>29</v>
      </c>
      <c r="L40" s="3" t="n">
        <v>13500</v>
      </c>
      <c r="M40" s="4" t="n">
        <v>44652</v>
      </c>
      <c r="N40" s="2" t="s">
        <v>40</v>
      </c>
      <c r="O40" s="2"/>
      <c r="P40" s="2"/>
      <c r="Q40" s="12" t="n">
        <v>85</v>
      </c>
      <c r="R40" s="2" t="n">
        <v>94</v>
      </c>
      <c r="S40" s="2" t="n">
        <v>7</v>
      </c>
      <c r="T40" s="2" t="n">
        <v>19</v>
      </c>
    </row>
    <row r="41" customFormat="false" ht="15" hidden="false" customHeight="false" outlineLevel="0" collapsed="false">
      <c r="A41" s="6" t="s">
        <v>155</v>
      </c>
      <c r="B41" s="6" t="s">
        <v>156</v>
      </c>
      <c r="C41" s="6" t="s">
        <v>43</v>
      </c>
      <c r="D41" s="6" t="n">
        <v>36</v>
      </c>
      <c r="E41" s="6" t="s">
        <v>44</v>
      </c>
      <c r="F41" s="6" t="s">
        <v>24</v>
      </c>
      <c r="G41" s="6" t="s">
        <v>25</v>
      </c>
      <c r="H41" s="6" t="s">
        <v>26</v>
      </c>
      <c r="I41" s="6" t="s">
        <v>46</v>
      </c>
      <c r="J41" s="6" t="s">
        <v>47</v>
      </c>
      <c r="K41" s="6" t="s">
        <v>50</v>
      </c>
      <c r="L41" s="7" t="n">
        <v>10500</v>
      </c>
      <c r="M41" s="8" t="n">
        <v>44228</v>
      </c>
      <c r="N41" s="6" t="s">
        <v>40</v>
      </c>
      <c r="O41" s="6"/>
      <c r="P41" s="6"/>
      <c r="Q41" s="11" t="n">
        <v>72</v>
      </c>
      <c r="R41" s="6" t="n">
        <v>70</v>
      </c>
      <c r="S41" s="6" t="n">
        <v>3</v>
      </c>
      <c r="T41" s="6" t="n">
        <v>47</v>
      </c>
    </row>
    <row r="42" customFormat="false" ht="15" hidden="false" customHeight="false" outlineLevel="0" collapsed="false">
      <c r="A42" s="2" t="s">
        <v>157</v>
      </c>
      <c r="B42" s="2" t="s">
        <v>158</v>
      </c>
      <c r="C42" s="2" t="s">
        <v>43</v>
      </c>
      <c r="D42" s="2" t="n">
        <v>41</v>
      </c>
      <c r="E42" s="2" t="s">
        <v>44</v>
      </c>
      <c r="F42" s="2" t="s">
        <v>45</v>
      </c>
      <c r="G42" s="2" t="s">
        <v>25</v>
      </c>
      <c r="H42" s="2" t="s">
        <v>36</v>
      </c>
      <c r="I42" s="2" t="s">
        <v>76</v>
      </c>
      <c r="J42" s="2" t="s">
        <v>133</v>
      </c>
      <c r="K42" s="2" t="s">
        <v>29</v>
      </c>
      <c r="L42" s="3" t="n">
        <v>13000</v>
      </c>
      <c r="M42" s="4" t="n">
        <v>43952</v>
      </c>
      <c r="N42" s="2" t="s">
        <v>40</v>
      </c>
      <c r="O42" s="2"/>
      <c r="P42" s="2"/>
      <c r="Q42" s="5" t="n">
        <v>60</v>
      </c>
      <c r="R42" s="2" t="n">
        <v>95</v>
      </c>
      <c r="S42" s="2" t="n">
        <v>17</v>
      </c>
      <c r="T42" s="2" t="n">
        <v>8</v>
      </c>
    </row>
    <row r="43" customFormat="false" ht="15" hidden="false" customHeight="false" outlineLevel="0" collapsed="false">
      <c r="A43" s="6" t="s">
        <v>159</v>
      </c>
      <c r="B43" s="6" t="s">
        <v>160</v>
      </c>
      <c r="C43" s="6" t="s">
        <v>22</v>
      </c>
      <c r="D43" s="6" t="n">
        <v>48</v>
      </c>
      <c r="E43" s="6" t="s">
        <v>23</v>
      </c>
      <c r="F43" s="6" t="s">
        <v>45</v>
      </c>
      <c r="G43" s="6" t="s">
        <v>25</v>
      </c>
      <c r="H43" s="6" t="s">
        <v>36</v>
      </c>
      <c r="I43" s="6" t="s">
        <v>37</v>
      </c>
      <c r="J43" s="6" t="s">
        <v>38</v>
      </c>
      <c r="K43" s="6" t="s">
        <v>50</v>
      </c>
      <c r="L43" s="7" t="n">
        <v>9500</v>
      </c>
      <c r="M43" s="8" t="n">
        <v>45870</v>
      </c>
      <c r="N43" s="6" t="s">
        <v>40</v>
      </c>
      <c r="O43" s="6"/>
      <c r="P43" s="6"/>
      <c r="Q43" s="11" t="n">
        <v>81</v>
      </c>
      <c r="R43" s="6" t="n">
        <v>61</v>
      </c>
      <c r="S43" s="6" t="n">
        <v>1</v>
      </c>
      <c r="T43" s="6" t="n">
        <v>16</v>
      </c>
    </row>
    <row r="44" customFormat="false" ht="15" hidden="false" customHeight="false" outlineLevel="0" collapsed="false">
      <c r="A44" s="2" t="s">
        <v>161</v>
      </c>
      <c r="B44" s="2" t="s">
        <v>162</v>
      </c>
      <c r="C44" s="2" t="s">
        <v>43</v>
      </c>
      <c r="D44" s="2" t="n">
        <v>51</v>
      </c>
      <c r="E44" s="2" t="s">
        <v>44</v>
      </c>
      <c r="F44" s="2" t="s">
        <v>24</v>
      </c>
      <c r="G44" s="2" t="s">
        <v>25</v>
      </c>
      <c r="H44" s="2" t="s">
        <v>70</v>
      </c>
      <c r="I44" s="2" t="s">
        <v>27</v>
      </c>
      <c r="J44" s="2" t="s">
        <v>28</v>
      </c>
      <c r="K44" s="2" t="s">
        <v>39</v>
      </c>
      <c r="L44" s="3" t="n">
        <v>13500</v>
      </c>
      <c r="M44" s="4" t="n">
        <v>43556</v>
      </c>
      <c r="N44" s="2" t="s">
        <v>40</v>
      </c>
      <c r="O44" s="2"/>
      <c r="P44" s="2"/>
      <c r="Q44" s="5" t="n">
        <v>58</v>
      </c>
      <c r="R44" s="2" t="n">
        <v>85</v>
      </c>
      <c r="S44" s="2" t="n">
        <v>13</v>
      </c>
      <c r="T44" s="2" t="n">
        <v>38</v>
      </c>
    </row>
    <row r="45" customFormat="false" ht="15" hidden="false" customHeight="false" outlineLevel="0" collapsed="false">
      <c r="A45" s="6" t="s">
        <v>163</v>
      </c>
      <c r="B45" s="6" t="s">
        <v>164</v>
      </c>
      <c r="C45" s="6" t="s">
        <v>43</v>
      </c>
      <c r="D45" s="6" t="n">
        <v>23</v>
      </c>
      <c r="E45" s="6" t="s">
        <v>53</v>
      </c>
      <c r="F45" s="6" t="s">
        <v>24</v>
      </c>
      <c r="G45" s="6" t="s">
        <v>25</v>
      </c>
      <c r="H45" s="6" t="s">
        <v>26</v>
      </c>
      <c r="I45" s="6" t="s">
        <v>54</v>
      </c>
      <c r="J45" s="6" t="s">
        <v>165</v>
      </c>
      <c r="K45" s="6" t="s">
        <v>29</v>
      </c>
      <c r="L45" s="7" t="n">
        <v>9000</v>
      </c>
      <c r="M45" s="8" t="n">
        <v>44866</v>
      </c>
      <c r="N45" s="6" t="s">
        <v>40</v>
      </c>
      <c r="O45" s="6"/>
      <c r="P45" s="6"/>
      <c r="Q45" s="9" t="n">
        <v>65</v>
      </c>
      <c r="R45" s="6" t="n">
        <v>60</v>
      </c>
      <c r="S45" s="6" t="n">
        <v>7</v>
      </c>
      <c r="T45" s="6" t="n">
        <v>11</v>
      </c>
    </row>
    <row r="46" customFormat="false" ht="15" hidden="false" customHeight="false" outlineLevel="0" collapsed="false">
      <c r="A46" s="2" t="s">
        <v>166</v>
      </c>
      <c r="B46" s="2" t="s">
        <v>167</v>
      </c>
      <c r="C46" s="2" t="s">
        <v>43</v>
      </c>
      <c r="D46" s="2" t="n">
        <v>30</v>
      </c>
      <c r="E46" s="2" t="s">
        <v>53</v>
      </c>
      <c r="F46" s="2" t="s">
        <v>24</v>
      </c>
      <c r="G46" s="2" t="s">
        <v>25</v>
      </c>
      <c r="H46" s="2" t="s">
        <v>70</v>
      </c>
      <c r="I46" s="2" t="s">
        <v>54</v>
      </c>
      <c r="J46" s="2" t="s">
        <v>165</v>
      </c>
      <c r="K46" s="2" t="s">
        <v>50</v>
      </c>
      <c r="L46" s="3" t="n">
        <v>11500</v>
      </c>
      <c r="M46" s="4" t="n">
        <v>45689</v>
      </c>
      <c r="N46" s="2" t="s">
        <v>40</v>
      </c>
      <c r="O46" s="2"/>
      <c r="P46" s="2"/>
      <c r="Q46" s="10" t="n">
        <v>74</v>
      </c>
      <c r="R46" s="2" t="n">
        <v>66</v>
      </c>
      <c r="S46" s="2" t="n">
        <v>20</v>
      </c>
      <c r="T46" s="2" t="n">
        <v>37</v>
      </c>
    </row>
    <row r="47" customFormat="false" ht="15" hidden="false" customHeight="false" outlineLevel="0" collapsed="false">
      <c r="A47" s="6" t="s">
        <v>168</v>
      </c>
      <c r="B47" s="6" t="s">
        <v>169</v>
      </c>
      <c r="C47" s="6" t="s">
        <v>22</v>
      </c>
      <c r="D47" s="6" t="n">
        <v>40</v>
      </c>
      <c r="E47" s="6" t="s">
        <v>23</v>
      </c>
      <c r="F47" s="6" t="s">
        <v>45</v>
      </c>
      <c r="G47" s="6" t="s">
        <v>35</v>
      </c>
      <c r="H47" s="6" t="s">
        <v>70</v>
      </c>
      <c r="I47" s="6" t="s">
        <v>37</v>
      </c>
      <c r="J47" s="6" t="s">
        <v>38</v>
      </c>
      <c r="K47" s="6" t="s">
        <v>29</v>
      </c>
      <c r="L47" s="7" t="n">
        <v>5500</v>
      </c>
      <c r="M47" s="8" t="n">
        <v>44835</v>
      </c>
      <c r="N47" s="6" t="s">
        <v>40</v>
      </c>
      <c r="O47" s="6"/>
      <c r="P47" s="6"/>
      <c r="Q47" s="13" t="n">
        <v>96</v>
      </c>
      <c r="R47" s="6" t="n">
        <v>68</v>
      </c>
      <c r="S47" s="6" t="n">
        <v>14</v>
      </c>
      <c r="T47" s="6" t="n">
        <v>7</v>
      </c>
    </row>
    <row r="48" customFormat="false" ht="15" hidden="false" customHeight="false" outlineLevel="0" collapsed="false">
      <c r="A48" s="2" t="s">
        <v>170</v>
      </c>
      <c r="B48" s="2" t="s">
        <v>171</v>
      </c>
      <c r="C48" s="2" t="s">
        <v>43</v>
      </c>
      <c r="D48" s="2" t="n">
        <v>34</v>
      </c>
      <c r="E48" s="2" t="s">
        <v>44</v>
      </c>
      <c r="F48" s="2" t="s">
        <v>24</v>
      </c>
      <c r="G48" s="2" t="s">
        <v>35</v>
      </c>
      <c r="H48" s="2" t="s">
        <v>36</v>
      </c>
      <c r="I48" s="2" t="s">
        <v>61</v>
      </c>
      <c r="J48" s="2" t="s">
        <v>137</v>
      </c>
      <c r="K48" s="2" t="s">
        <v>50</v>
      </c>
      <c r="L48" s="3" t="n">
        <v>11000</v>
      </c>
      <c r="M48" s="4" t="n">
        <v>43556</v>
      </c>
      <c r="N48" s="2" t="s">
        <v>40</v>
      </c>
      <c r="O48" s="2"/>
      <c r="P48" s="2"/>
      <c r="Q48" s="12" t="n">
        <v>96</v>
      </c>
      <c r="R48" s="2" t="n">
        <v>87</v>
      </c>
      <c r="S48" s="2" t="n">
        <v>0</v>
      </c>
      <c r="T48" s="2" t="n">
        <v>48</v>
      </c>
    </row>
    <row r="49" customFormat="false" ht="15" hidden="false" customHeight="false" outlineLevel="0" collapsed="false">
      <c r="A49" s="6" t="s">
        <v>172</v>
      </c>
      <c r="B49" s="6" t="s">
        <v>173</v>
      </c>
      <c r="C49" s="6" t="s">
        <v>43</v>
      </c>
      <c r="D49" s="6" t="n">
        <v>49</v>
      </c>
      <c r="E49" s="6" t="s">
        <v>44</v>
      </c>
      <c r="F49" s="6" t="s">
        <v>34</v>
      </c>
      <c r="G49" s="6" t="s">
        <v>25</v>
      </c>
      <c r="H49" s="6" t="s">
        <v>65</v>
      </c>
      <c r="I49" s="6" t="s">
        <v>27</v>
      </c>
      <c r="J49" s="6" t="s">
        <v>82</v>
      </c>
      <c r="K49" s="6" t="s">
        <v>50</v>
      </c>
      <c r="L49" s="7" t="n">
        <v>12000</v>
      </c>
      <c r="M49" s="8" t="n">
        <v>45809</v>
      </c>
      <c r="N49" s="6" t="s">
        <v>40</v>
      </c>
      <c r="O49" s="6"/>
      <c r="P49" s="6"/>
      <c r="Q49" s="13" t="n">
        <v>86</v>
      </c>
      <c r="R49" s="6" t="n">
        <v>71</v>
      </c>
      <c r="S49" s="6" t="n">
        <v>10</v>
      </c>
      <c r="T49" s="6" t="n">
        <v>42</v>
      </c>
    </row>
    <row r="50" customFormat="false" ht="15" hidden="false" customHeight="false" outlineLevel="0" collapsed="false">
      <c r="A50" s="2" t="s">
        <v>174</v>
      </c>
      <c r="B50" s="2" t="s">
        <v>175</v>
      </c>
      <c r="C50" s="2" t="s">
        <v>43</v>
      </c>
      <c r="D50" s="2" t="n">
        <v>46</v>
      </c>
      <c r="E50" s="2" t="s">
        <v>44</v>
      </c>
      <c r="F50" s="2" t="s">
        <v>45</v>
      </c>
      <c r="G50" s="2" t="s">
        <v>25</v>
      </c>
      <c r="H50" s="2" t="s">
        <v>26</v>
      </c>
      <c r="I50" s="2" t="s">
        <v>61</v>
      </c>
      <c r="J50" s="2" t="s">
        <v>117</v>
      </c>
      <c r="K50" s="2" t="s">
        <v>50</v>
      </c>
      <c r="L50" s="3" t="n">
        <v>8500</v>
      </c>
      <c r="M50" s="4" t="n">
        <v>43647</v>
      </c>
      <c r="N50" s="2" t="s">
        <v>40</v>
      </c>
      <c r="O50" s="2"/>
      <c r="P50" s="2"/>
      <c r="Q50" s="12" t="n">
        <v>92</v>
      </c>
      <c r="R50" s="2" t="n">
        <v>50</v>
      </c>
      <c r="S50" s="2" t="n">
        <v>17</v>
      </c>
      <c r="T50" s="2" t="n">
        <v>29</v>
      </c>
    </row>
    <row r="51" customFormat="false" ht="15" hidden="false" customHeight="false" outlineLevel="0" collapsed="false">
      <c r="A51" s="6" t="s">
        <v>176</v>
      </c>
      <c r="B51" s="6" t="s">
        <v>177</v>
      </c>
      <c r="C51" s="6" t="s">
        <v>43</v>
      </c>
      <c r="D51" s="6" t="n">
        <v>49</v>
      </c>
      <c r="E51" s="6" t="s">
        <v>44</v>
      </c>
      <c r="F51" s="6" t="s">
        <v>34</v>
      </c>
      <c r="G51" s="6" t="s">
        <v>35</v>
      </c>
      <c r="H51" s="6" t="s">
        <v>36</v>
      </c>
      <c r="I51" s="6" t="s">
        <v>54</v>
      </c>
      <c r="J51" s="6" t="s">
        <v>55</v>
      </c>
      <c r="K51" s="6" t="s">
        <v>50</v>
      </c>
      <c r="L51" s="7" t="n">
        <v>12000</v>
      </c>
      <c r="M51" s="8" t="n">
        <v>43466</v>
      </c>
      <c r="N51" s="6" t="s">
        <v>40</v>
      </c>
      <c r="O51" s="6"/>
      <c r="P51" s="6"/>
      <c r="Q51" s="13" t="n">
        <v>100</v>
      </c>
      <c r="R51" s="6" t="n">
        <v>88</v>
      </c>
      <c r="S51" s="6" t="n">
        <v>7</v>
      </c>
      <c r="T51" s="6" t="n">
        <v>45</v>
      </c>
    </row>
  </sheetData>
  <autoFilter ref="A1:T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12" min="3" style="0" width="18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</row>
    <row r="2" customFormat="false" ht="15" hidden="false" customHeight="false" outlineLevel="0" collapsed="false">
      <c r="A2" s="2" t="s">
        <v>32</v>
      </c>
      <c r="B2" s="2" t="s">
        <v>33</v>
      </c>
      <c r="C2" s="2" t="s">
        <v>37</v>
      </c>
      <c r="D2" s="2" t="s">
        <v>39</v>
      </c>
      <c r="E2" s="3" t="n">
        <v>6500</v>
      </c>
      <c r="F2" s="3" t="n">
        <f aca="false">E2*0.25</f>
        <v>1625</v>
      </c>
      <c r="G2" s="3" t="n">
        <v>700</v>
      </c>
      <c r="H2" s="3" t="n">
        <f aca="false">E2*0.1175</f>
        <v>763.75</v>
      </c>
      <c r="I2" s="3" t="n">
        <v>350</v>
      </c>
      <c r="J2" s="3" t="n">
        <v>200</v>
      </c>
      <c r="K2" s="3" t="n">
        <f aca="false">SUM(E2:J2)</f>
        <v>10138.75</v>
      </c>
      <c r="L2" s="3" t="n">
        <f aca="false">K2*12</f>
        <v>121665</v>
      </c>
    </row>
    <row r="3" customFormat="false" ht="15" hidden="false" customHeight="false" outlineLevel="0" collapsed="false">
      <c r="A3" s="6" t="s">
        <v>41</v>
      </c>
      <c r="B3" s="6" t="s">
        <v>42</v>
      </c>
      <c r="C3" s="6" t="s">
        <v>46</v>
      </c>
      <c r="D3" s="6" t="s">
        <v>29</v>
      </c>
      <c r="E3" s="7" t="n">
        <v>15000</v>
      </c>
      <c r="F3" s="7" t="n">
        <f aca="false">E3*0.25</f>
        <v>3750</v>
      </c>
      <c r="G3" s="7" t="n">
        <v>700</v>
      </c>
      <c r="H3" s="7" t="n">
        <f aca="false">E3*0.1175</f>
        <v>1762.5</v>
      </c>
      <c r="I3" s="7" t="n">
        <v>350</v>
      </c>
      <c r="J3" s="7" t="n">
        <v>500</v>
      </c>
      <c r="K3" s="7" t="n">
        <f aca="false">SUM(E3:J3)</f>
        <v>22062.5</v>
      </c>
      <c r="L3" s="7" t="n">
        <f aca="false">K3*12</f>
        <v>264750</v>
      </c>
    </row>
    <row r="4" customFormat="false" ht="15" hidden="false" customHeight="false" outlineLevel="0" collapsed="false">
      <c r="A4" s="2" t="s">
        <v>48</v>
      </c>
      <c r="B4" s="2" t="s">
        <v>49</v>
      </c>
      <c r="C4" s="2" t="s">
        <v>37</v>
      </c>
      <c r="D4" s="2" t="s">
        <v>50</v>
      </c>
      <c r="E4" s="3" t="n">
        <v>6000</v>
      </c>
      <c r="F4" s="3" t="n">
        <f aca="false">E4*0.25</f>
        <v>1500</v>
      </c>
      <c r="G4" s="3" t="n">
        <v>700</v>
      </c>
      <c r="H4" s="3" t="n">
        <f aca="false">E4*0.1175</f>
        <v>705</v>
      </c>
      <c r="I4" s="3" t="n">
        <v>350</v>
      </c>
      <c r="J4" s="3" t="n">
        <v>200</v>
      </c>
      <c r="K4" s="3" t="n">
        <f aca="false">SUM(E4:J4)</f>
        <v>9455</v>
      </c>
      <c r="L4" s="3" t="n">
        <f aca="false">K4*12</f>
        <v>113460</v>
      </c>
    </row>
    <row r="5" customFormat="false" ht="15" hidden="false" customHeight="false" outlineLevel="0" collapsed="false">
      <c r="A5" s="6" t="s">
        <v>51</v>
      </c>
      <c r="B5" s="6" t="s">
        <v>52</v>
      </c>
      <c r="C5" s="6" t="s">
        <v>54</v>
      </c>
      <c r="D5" s="6" t="s">
        <v>29</v>
      </c>
      <c r="E5" s="7" t="n">
        <v>13000</v>
      </c>
      <c r="F5" s="7" t="n">
        <f aca="false">E5*0.25</f>
        <v>3250</v>
      </c>
      <c r="G5" s="7" t="n">
        <v>700</v>
      </c>
      <c r="H5" s="7" t="n">
        <f aca="false">E5*0.1175</f>
        <v>1527.5</v>
      </c>
      <c r="I5" s="7" t="n">
        <v>800</v>
      </c>
      <c r="J5" s="7" t="n">
        <v>300</v>
      </c>
      <c r="K5" s="7" t="n">
        <f aca="false">SUM(E5:J5)</f>
        <v>19577.5</v>
      </c>
      <c r="L5" s="7" t="n">
        <f aca="false">K5*12</f>
        <v>234930</v>
      </c>
    </row>
    <row r="6" customFormat="false" ht="15" hidden="false" customHeight="false" outlineLevel="0" collapsed="false">
      <c r="A6" s="2" t="s">
        <v>68</v>
      </c>
      <c r="B6" s="2" t="s">
        <v>69</v>
      </c>
      <c r="C6" s="2" t="s">
        <v>27</v>
      </c>
      <c r="D6" s="2" t="s">
        <v>39</v>
      </c>
      <c r="E6" s="3" t="n">
        <v>9000</v>
      </c>
      <c r="F6" s="3" t="n">
        <f aca="false">E6*0.25</f>
        <v>2250</v>
      </c>
      <c r="G6" s="3" t="n">
        <v>700</v>
      </c>
      <c r="H6" s="3" t="n">
        <f aca="false">E6*0.1175</f>
        <v>1057.5</v>
      </c>
      <c r="I6" s="3" t="n">
        <v>650</v>
      </c>
      <c r="J6" s="3" t="n">
        <v>500</v>
      </c>
      <c r="K6" s="3" t="n">
        <f aca="false">SUM(E6:J6)</f>
        <v>14157.5</v>
      </c>
      <c r="L6" s="3" t="n">
        <f aca="false">K6*12</f>
        <v>169890</v>
      </c>
    </row>
    <row r="7" customFormat="false" ht="15" hidden="false" customHeight="false" outlineLevel="0" collapsed="false">
      <c r="A7" s="6" t="s">
        <v>72</v>
      </c>
      <c r="B7" s="6" t="s">
        <v>73</v>
      </c>
      <c r="C7" s="6" t="s">
        <v>27</v>
      </c>
      <c r="D7" s="6" t="s">
        <v>50</v>
      </c>
      <c r="E7" s="7" t="n">
        <v>13000</v>
      </c>
      <c r="F7" s="7" t="n">
        <f aca="false">E7*0.25</f>
        <v>3250</v>
      </c>
      <c r="G7" s="7" t="n">
        <v>700</v>
      </c>
      <c r="H7" s="7" t="n">
        <f aca="false">E7*0.1175</f>
        <v>1527.5</v>
      </c>
      <c r="I7" s="7" t="n">
        <v>800</v>
      </c>
      <c r="J7" s="7" t="n">
        <v>500</v>
      </c>
      <c r="K7" s="7" t="n">
        <f aca="false">SUM(E7:J7)</f>
        <v>19777.5</v>
      </c>
      <c r="L7" s="7" t="n">
        <f aca="false">K7*12</f>
        <v>237330</v>
      </c>
    </row>
    <row r="8" customFormat="false" ht="15" hidden="false" customHeight="false" outlineLevel="0" collapsed="false">
      <c r="A8" s="2" t="s">
        <v>74</v>
      </c>
      <c r="B8" s="2" t="s">
        <v>75</v>
      </c>
      <c r="C8" s="2" t="s">
        <v>76</v>
      </c>
      <c r="D8" s="2" t="s">
        <v>29</v>
      </c>
      <c r="E8" s="3" t="n">
        <v>9000</v>
      </c>
      <c r="F8" s="3" t="n">
        <f aca="false">E8*0.25</f>
        <v>2250</v>
      </c>
      <c r="G8" s="3" t="n">
        <v>700</v>
      </c>
      <c r="H8" s="3" t="n">
        <f aca="false">E8*0.1175</f>
        <v>1057.5</v>
      </c>
      <c r="I8" s="3" t="n">
        <v>500</v>
      </c>
      <c r="J8" s="3" t="n">
        <v>500</v>
      </c>
      <c r="K8" s="3" t="n">
        <f aca="false">SUM(E8:J8)</f>
        <v>14007.5</v>
      </c>
      <c r="L8" s="3" t="n">
        <f aca="false">K8*12</f>
        <v>168090</v>
      </c>
    </row>
    <row r="9" customFormat="false" ht="15" hidden="false" customHeight="false" outlineLevel="0" collapsed="false">
      <c r="A9" s="6" t="s">
        <v>78</v>
      </c>
      <c r="B9" s="6" t="s">
        <v>79</v>
      </c>
      <c r="C9" s="6" t="s">
        <v>27</v>
      </c>
      <c r="D9" s="6" t="s">
        <v>39</v>
      </c>
      <c r="E9" s="7" t="n">
        <v>8000</v>
      </c>
      <c r="F9" s="7" t="n">
        <f aca="false">E9*0.25</f>
        <v>2000</v>
      </c>
      <c r="G9" s="7" t="n">
        <v>700</v>
      </c>
      <c r="H9" s="7" t="n">
        <f aca="false">E9*0.1175</f>
        <v>940</v>
      </c>
      <c r="I9" s="7" t="n">
        <v>500</v>
      </c>
      <c r="J9" s="7" t="n">
        <v>500</v>
      </c>
      <c r="K9" s="7" t="n">
        <f aca="false">SUM(E9:J9)</f>
        <v>12640</v>
      </c>
      <c r="L9" s="7" t="n">
        <f aca="false">K9*12</f>
        <v>151680</v>
      </c>
    </row>
    <row r="10" customFormat="false" ht="15" hidden="false" customHeight="false" outlineLevel="0" collapsed="false">
      <c r="A10" s="2" t="s">
        <v>80</v>
      </c>
      <c r="B10" s="2" t="s">
        <v>81</v>
      </c>
      <c r="C10" s="2" t="s">
        <v>27</v>
      </c>
      <c r="D10" s="2" t="s">
        <v>50</v>
      </c>
      <c r="E10" s="3" t="n">
        <v>8000</v>
      </c>
      <c r="F10" s="3" t="n">
        <f aca="false">E10*0.25</f>
        <v>2000</v>
      </c>
      <c r="G10" s="3" t="n">
        <v>700</v>
      </c>
      <c r="H10" s="3" t="n">
        <f aca="false">E10*0.1175</f>
        <v>940</v>
      </c>
      <c r="I10" s="3" t="n">
        <v>500</v>
      </c>
      <c r="J10" s="3" t="n">
        <v>200</v>
      </c>
      <c r="K10" s="3" t="n">
        <f aca="false">SUM(E10:J10)</f>
        <v>12340</v>
      </c>
      <c r="L10" s="3" t="n">
        <f aca="false">K10*12</f>
        <v>148080</v>
      </c>
    </row>
    <row r="11" customFormat="false" ht="15" hidden="false" customHeight="false" outlineLevel="0" collapsed="false">
      <c r="A11" s="6" t="s">
        <v>83</v>
      </c>
      <c r="B11" s="6" t="s">
        <v>84</v>
      </c>
      <c r="C11" s="6" t="s">
        <v>61</v>
      </c>
      <c r="D11" s="6" t="s">
        <v>29</v>
      </c>
      <c r="E11" s="7" t="n">
        <v>10000</v>
      </c>
      <c r="F11" s="7" t="n">
        <f aca="false">E11*0.25</f>
        <v>2500</v>
      </c>
      <c r="G11" s="7" t="n">
        <v>700</v>
      </c>
      <c r="H11" s="7" t="n">
        <f aca="false">E11*0.1175</f>
        <v>1175</v>
      </c>
      <c r="I11" s="7" t="n">
        <v>350</v>
      </c>
      <c r="J11" s="7" t="n">
        <v>300</v>
      </c>
      <c r="K11" s="7" t="n">
        <f aca="false">SUM(E11:J11)</f>
        <v>15025</v>
      </c>
      <c r="L11" s="7" t="n">
        <f aca="false">K11*12</f>
        <v>180300</v>
      </c>
    </row>
    <row r="12" customFormat="false" ht="15" hidden="false" customHeight="false" outlineLevel="0" collapsed="false">
      <c r="A12" s="2" t="s">
        <v>85</v>
      </c>
      <c r="B12" s="2" t="s">
        <v>86</v>
      </c>
      <c r="C12" s="2" t="s">
        <v>76</v>
      </c>
      <c r="D12" s="2" t="s">
        <v>29</v>
      </c>
      <c r="E12" s="3" t="n">
        <v>17000</v>
      </c>
      <c r="F12" s="3" t="n">
        <f aca="false">E12*0.25</f>
        <v>4250</v>
      </c>
      <c r="G12" s="3" t="n">
        <v>700</v>
      </c>
      <c r="H12" s="3" t="n">
        <f aca="false">E12*0.1175</f>
        <v>1997.5</v>
      </c>
      <c r="I12" s="3" t="n">
        <v>800</v>
      </c>
      <c r="J12" s="3" t="n">
        <v>300</v>
      </c>
      <c r="K12" s="3" t="n">
        <f aca="false">SUM(E12:J12)</f>
        <v>25047.5</v>
      </c>
      <c r="L12" s="3" t="n">
        <f aca="false">K12*12</f>
        <v>300570</v>
      </c>
    </row>
    <row r="13" customFormat="false" ht="15" hidden="false" customHeight="false" outlineLevel="0" collapsed="false">
      <c r="A13" s="6" t="s">
        <v>93</v>
      </c>
      <c r="B13" s="6" t="s">
        <v>94</v>
      </c>
      <c r="C13" s="6" t="s">
        <v>27</v>
      </c>
      <c r="D13" s="6" t="s">
        <v>50</v>
      </c>
      <c r="E13" s="7" t="n">
        <v>10500</v>
      </c>
      <c r="F13" s="7" t="n">
        <f aca="false">E13*0.25</f>
        <v>2625</v>
      </c>
      <c r="G13" s="7" t="n">
        <v>700</v>
      </c>
      <c r="H13" s="7" t="n">
        <f aca="false">E13*0.1175</f>
        <v>1233.75</v>
      </c>
      <c r="I13" s="7" t="n">
        <v>650</v>
      </c>
      <c r="J13" s="7" t="n">
        <v>0</v>
      </c>
      <c r="K13" s="7" t="n">
        <f aca="false">SUM(E13:J13)</f>
        <v>15708.75</v>
      </c>
      <c r="L13" s="7" t="n">
        <f aca="false">K13*12</f>
        <v>188505</v>
      </c>
    </row>
    <row r="14" customFormat="false" ht="15" hidden="false" customHeight="false" outlineLevel="0" collapsed="false">
      <c r="A14" s="2" t="s">
        <v>96</v>
      </c>
      <c r="B14" s="2" t="s">
        <v>97</v>
      </c>
      <c r="C14" s="2" t="s">
        <v>54</v>
      </c>
      <c r="D14" s="2" t="s">
        <v>39</v>
      </c>
      <c r="E14" s="3" t="n">
        <v>14500</v>
      </c>
      <c r="F14" s="3" t="n">
        <f aca="false">E14*0.25</f>
        <v>3625</v>
      </c>
      <c r="G14" s="3" t="n">
        <v>700</v>
      </c>
      <c r="H14" s="3" t="n">
        <f aca="false">E14*0.1175</f>
        <v>1703.75</v>
      </c>
      <c r="I14" s="3" t="n">
        <v>650</v>
      </c>
      <c r="J14" s="3" t="n">
        <v>300</v>
      </c>
      <c r="K14" s="3" t="n">
        <f aca="false">SUM(E14:J14)</f>
        <v>21478.75</v>
      </c>
      <c r="L14" s="3" t="n">
        <f aca="false">K14*12</f>
        <v>257745</v>
      </c>
    </row>
    <row r="15" customFormat="false" ht="15" hidden="false" customHeight="false" outlineLevel="0" collapsed="false">
      <c r="A15" s="6" t="s">
        <v>98</v>
      </c>
      <c r="B15" s="6" t="s">
        <v>99</v>
      </c>
      <c r="C15" s="6" t="s">
        <v>46</v>
      </c>
      <c r="D15" s="6" t="s">
        <v>39</v>
      </c>
      <c r="E15" s="7" t="n">
        <v>9500</v>
      </c>
      <c r="F15" s="7" t="n">
        <f aca="false">E15*0.25</f>
        <v>2375</v>
      </c>
      <c r="G15" s="7" t="n">
        <v>700</v>
      </c>
      <c r="H15" s="7" t="n">
        <f aca="false">E15*0.1175</f>
        <v>1116.25</v>
      </c>
      <c r="I15" s="7" t="n">
        <v>800</v>
      </c>
      <c r="J15" s="7" t="n">
        <v>200</v>
      </c>
      <c r="K15" s="7" t="n">
        <f aca="false">SUM(E15:J15)</f>
        <v>14691.25</v>
      </c>
      <c r="L15" s="7" t="n">
        <f aca="false">K15*12</f>
        <v>176295</v>
      </c>
    </row>
    <row r="16" customFormat="false" ht="15" hidden="false" customHeight="false" outlineLevel="0" collapsed="false">
      <c r="A16" s="2" t="s">
        <v>100</v>
      </c>
      <c r="B16" s="2" t="s">
        <v>101</v>
      </c>
      <c r="C16" s="2" t="s">
        <v>46</v>
      </c>
      <c r="D16" s="2" t="s">
        <v>39</v>
      </c>
      <c r="E16" s="3" t="n">
        <v>13000</v>
      </c>
      <c r="F16" s="3" t="n">
        <f aca="false">E16*0.25</f>
        <v>3250</v>
      </c>
      <c r="G16" s="3" t="n">
        <v>700</v>
      </c>
      <c r="H16" s="3" t="n">
        <f aca="false">E16*0.1175</f>
        <v>1527.5</v>
      </c>
      <c r="I16" s="3" t="n">
        <v>800</v>
      </c>
      <c r="J16" s="3" t="n">
        <v>500</v>
      </c>
      <c r="K16" s="3" t="n">
        <f aca="false">SUM(E16:J16)</f>
        <v>19777.5</v>
      </c>
      <c r="L16" s="3" t="n">
        <f aca="false">K16*12</f>
        <v>237330</v>
      </c>
    </row>
    <row r="17" customFormat="false" ht="15" hidden="false" customHeight="false" outlineLevel="0" collapsed="false">
      <c r="A17" s="6" t="s">
        <v>102</v>
      </c>
      <c r="B17" s="6" t="s">
        <v>103</v>
      </c>
      <c r="C17" s="6" t="s">
        <v>54</v>
      </c>
      <c r="D17" s="6" t="s">
        <v>39</v>
      </c>
      <c r="E17" s="7" t="n">
        <v>11500</v>
      </c>
      <c r="F17" s="7" t="n">
        <f aca="false">E17*0.25</f>
        <v>2875</v>
      </c>
      <c r="G17" s="7" t="n">
        <v>700</v>
      </c>
      <c r="H17" s="7" t="n">
        <f aca="false">E17*0.1175</f>
        <v>1351.25</v>
      </c>
      <c r="I17" s="7" t="n">
        <v>650</v>
      </c>
      <c r="J17" s="7" t="n">
        <v>300</v>
      </c>
      <c r="K17" s="7" t="n">
        <f aca="false">SUM(E17:J17)</f>
        <v>17376.25</v>
      </c>
      <c r="L17" s="7" t="n">
        <f aca="false">K17*12</f>
        <v>208515</v>
      </c>
    </row>
    <row r="18" customFormat="false" ht="15" hidden="false" customHeight="false" outlineLevel="0" collapsed="false">
      <c r="A18" s="2" t="s">
        <v>104</v>
      </c>
      <c r="B18" s="2" t="s">
        <v>105</v>
      </c>
      <c r="C18" s="2" t="s">
        <v>37</v>
      </c>
      <c r="D18" s="2" t="s">
        <v>50</v>
      </c>
      <c r="E18" s="3" t="n">
        <v>7000</v>
      </c>
      <c r="F18" s="3" t="n">
        <f aca="false">E18*0.25</f>
        <v>1750</v>
      </c>
      <c r="G18" s="3" t="n">
        <v>700</v>
      </c>
      <c r="H18" s="3" t="n">
        <f aca="false">E18*0.1175</f>
        <v>822.5</v>
      </c>
      <c r="I18" s="3" t="n">
        <v>800</v>
      </c>
      <c r="J18" s="3" t="n">
        <v>500</v>
      </c>
      <c r="K18" s="3" t="n">
        <f aca="false">SUM(E18:J18)</f>
        <v>11572.5</v>
      </c>
      <c r="L18" s="3" t="n">
        <f aca="false">K18*12</f>
        <v>138870</v>
      </c>
    </row>
    <row r="19" customFormat="false" ht="15" hidden="false" customHeight="false" outlineLevel="0" collapsed="false">
      <c r="A19" s="6" t="s">
        <v>107</v>
      </c>
      <c r="B19" s="6" t="s">
        <v>108</v>
      </c>
      <c r="C19" s="6" t="s">
        <v>54</v>
      </c>
      <c r="D19" s="6" t="s">
        <v>50</v>
      </c>
      <c r="E19" s="7" t="n">
        <v>8500</v>
      </c>
      <c r="F19" s="7" t="n">
        <f aca="false">E19*0.25</f>
        <v>2125</v>
      </c>
      <c r="G19" s="7" t="n">
        <v>700</v>
      </c>
      <c r="H19" s="7" t="n">
        <f aca="false">E19*0.1175</f>
        <v>998.75</v>
      </c>
      <c r="I19" s="7" t="n">
        <v>650</v>
      </c>
      <c r="J19" s="7" t="n">
        <v>200</v>
      </c>
      <c r="K19" s="7" t="n">
        <f aca="false">SUM(E19:J19)</f>
        <v>13173.75</v>
      </c>
      <c r="L19" s="7" t="n">
        <f aca="false">K19*12</f>
        <v>158085</v>
      </c>
    </row>
    <row r="20" customFormat="false" ht="15" hidden="false" customHeight="false" outlineLevel="0" collapsed="false">
      <c r="A20" s="2" t="s">
        <v>112</v>
      </c>
      <c r="B20" s="2" t="s">
        <v>113</v>
      </c>
      <c r="C20" s="2" t="s">
        <v>46</v>
      </c>
      <c r="D20" s="2" t="s">
        <v>39</v>
      </c>
      <c r="E20" s="3" t="n">
        <v>11000</v>
      </c>
      <c r="F20" s="3" t="n">
        <f aca="false">E20*0.25</f>
        <v>2750</v>
      </c>
      <c r="G20" s="3" t="n">
        <v>700</v>
      </c>
      <c r="H20" s="3" t="n">
        <f aca="false">E20*0.1175</f>
        <v>1292.5</v>
      </c>
      <c r="I20" s="3" t="n">
        <v>500</v>
      </c>
      <c r="J20" s="3" t="n">
        <v>500</v>
      </c>
      <c r="K20" s="3" t="n">
        <f aca="false">SUM(E20:J20)</f>
        <v>16742.5</v>
      </c>
      <c r="L20" s="3" t="n">
        <f aca="false">K20*12</f>
        <v>200910</v>
      </c>
    </row>
    <row r="21" customFormat="false" ht="15" hidden="false" customHeight="false" outlineLevel="0" collapsed="false">
      <c r="A21" s="6" t="s">
        <v>115</v>
      </c>
      <c r="B21" s="6" t="s">
        <v>116</v>
      </c>
      <c r="C21" s="6" t="s">
        <v>61</v>
      </c>
      <c r="D21" s="6" t="s">
        <v>50</v>
      </c>
      <c r="E21" s="7" t="n">
        <v>8500</v>
      </c>
      <c r="F21" s="7" t="n">
        <f aca="false">E21*0.25</f>
        <v>2125</v>
      </c>
      <c r="G21" s="7" t="n">
        <v>700</v>
      </c>
      <c r="H21" s="7" t="n">
        <f aca="false">E21*0.1175</f>
        <v>998.75</v>
      </c>
      <c r="I21" s="7" t="n">
        <v>500</v>
      </c>
      <c r="J21" s="7" t="n">
        <v>500</v>
      </c>
      <c r="K21" s="7" t="n">
        <f aca="false">SUM(E21:J21)</f>
        <v>13323.75</v>
      </c>
      <c r="L21" s="7" t="n">
        <f aca="false">K21*12</f>
        <v>159885</v>
      </c>
    </row>
    <row r="22" customFormat="false" ht="15" hidden="false" customHeight="false" outlineLevel="0" collapsed="false">
      <c r="A22" s="2" t="s">
        <v>118</v>
      </c>
      <c r="B22" s="2" t="s">
        <v>119</v>
      </c>
      <c r="C22" s="2" t="s">
        <v>120</v>
      </c>
      <c r="D22" s="2" t="s">
        <v>29</v>
      </c>
      <c r="E22" s="3" t="n">
        <v>7500</v>
      </c>
      <c r="F22" s="3" t="n">
        <f aca="false">E22*0.25</f>
        <v>1875</v>
      </c>
      <c r="G22" s="3" t="n">
        <v>700</v>
      </c>
      <c r="H22" s="3" t="n">
        <f aca="false">E22*0.1175</f>
        <v>881.25</v>
      </c>
      <c r="I22" s="3" t="n">
        <v>350</v>
      </c>
      <c r="J22" s="3" t="n">
        <v>300</v>
      </c>
      <c r="K22" s="3" t="n">
        <f aca="false">SUM(E22:J22)</f>
        <v>11606.25</v>
      </c>
      <c r="L22" s="3" t="n">
        <f aca="false">K22*12</f>
        <v>139275</v>
      </c>
    </row>
    <row r="23" customFormat="false" ht="15" hidden="false" customHeight="false" outlineLevel="0" collapsed="false">
      <c r="A23" s="6" t="s">
        <v>122</v>
      </c>
      <c r="B23" s="6" t="s">
        <v>123</v>
      </c>
      <c r="C23" s="6" t="s">
        <v>61</v>
      </c>
      <c r="D23" s="6" t="s">
        <v>39</v>
      </c>
      <c r="E23" s="7" t="n">
        <v>7000</v>
      </c>
      <c r="F23" s="7" t="n">
        <f aca="false">E23*0.25</f>
        <v>1750</v>
      </c>
      <c r="G23" s="7" t="n">
        <v>700</v>
      </c>
      <c r="H23" s="7" t="n">
        <f aca="false">E23*0.1175</f>
        <v>822.5</v>
      </c>
      <c r="I23" s="7" t="n">
        <v>800</v>
      </c>
      <c r="J23" s="7" t="n">
        <v>500</v>
      </c>
      <c r="K23" s="7" t="n">
        <f aca="false">SUM(E23:J23)</f>
        <v>11572.5</v>
      </c>
      <c r="L23" s="7" t="n">
        <f aca="false">K23*12</f>
        <v>138870</v>
      </c>
    </row>
    <row r="24" customFormat="false" ht="15" hidden="false" customHeight="false" outlineLevel="0" collapsed="false">
      <c r="A24" s="2" t="s">
        <v>129</v>
      </c>
      <c r="B24" s="2" t="s">
        <v>130</v>
      </c>
      <c r="C24" s="2" t="s">
        <v>54</v>
      </c>
      <c r="D24" s="2" t="s">
        <v>39</v>
      </c>
      <c r="E24" s="3" t="n">
        <v>12500</v>
      </c>
      <c r="F24" s="3" t="n">
        <f aca="false">E24*0.25</f>
        <v>3125</v>
      </c>
      <c r="G24" s="3" t="n">
        <v>700</v>
      </c>
      <c r="H24" s="3" t="n">
        <f aca="false">E24*0.1175</f>
        <v>1468.75</v>
      </c>
      <c r="I24" s="3" t="n">
        <v>800</v>
      </c>
      <c r="J24" s="3" t="n">
        <v>200</v>
      </c>
      <c r="K24" s="3" t="n">
        <f aca="false">SUM(E24:J24)</f>
        <v>18793.75</v>
      </c>
      <c r="L24" s="3" t="n">
        <f aca="false">K24*12</f>
        <v>225525</v>
      </c>
    </row>
    <row r="25" customFormat="false" ht="15" hidden="false" customHeight="false" outlineLevel="0" collapsed="false">
      <c r="A25" s="6" t="s">
        <v>135</v>
      </c>
      <c r="B25" s="6" t="s">
        <v>136</v>
      </c>
      <c r="C25" s="6" t="s">
        <v>61</v>
      </c>
      <c r="D25" s="6" t="s">
        <v>39</v>
      </c>
      <c r="E25" s="7" t="n">
        <v>11500</v>
      </c>
      <c r="F25" s="7" t="n">
        <f aca="false">E25*0.25</f>
        <v>2875</v>
      </c>
      <c r="G25" s="7" t="n">
        <v>700</v>
      </c>
      <c r="H25" s="7" t="n">
        <f aca="false">E25*0.1175</f>
        <v>1351.25</v>
      </c>
      <c r="I25" s="7" t="n">
        <v>800</v>
      </c>
      <c r="J25" s="7" t="n">
        <v>0</v>
      </c>
      <c r="K25" s="7" t="n">
        <f aca="false">SUM(E25:J25)</f>
        <v>17226.25</v>
      </c>
      <c r="L25" s="7" t="n">
        <f aca="false">K25*12</f>
        <v>206715</v>
      </c>
    </row>
    <row r="26" customFormat="false" ht="15" hidden="false" customHeight="false" outlineLevel="0" collapsed="false">
      <c r="A26" s="2" t="s">
        <v>138</v>
      </c>
      <c r="B26" s="2" t="s">
        <v>139</v>
      </c>
      <c r="C26" s="2" t="s">
        <v>54</v>
      </c>
      <c r="D26" s="2" t="s">
        <v>29</v>
      </c>
      <c r="E26" s="3" t="n">
        <v>13000</v>
      </c>
      <c r="F26" s="3" t="n">
        <f aca="false">E26*0.25</f>
        <v>3250</v>
      </c>
      <c r="G26" s="3" t="n">
        <v>700</v>
      </c>
      <c r="H26" s="3" t="n">
        <f aca="false">E26*0.1175</f>
        <v>1527.5</v>
      </c>
      <c r="I26" s="3" t="n">
        <v>500</v>
      </c>
      <c r="J26" s="3" t="n">
        <v>300</v>
      </c>
      <c r="K26" s="3" t="n">
        <f aca="false">SUM(E26:J26)</f>
        <v>19277.5</v>
      </c>
      <c r="L26" s="3" t="n">
        <f aca="false">K26*12</f>
        <v>231330</v>
      </c>
    </row>
    <row r="27" customFormat="false" ht="15" hidden="false" customHeight="false" outlineLevel="0" collapsed="false">
      <c r="A27" s="6" t="s">
        <v>141</v>
      </c>
      <c r="B27" s="6" t="s">
        <v>142</v>
      </c>
      <c r="C27" s="6" t="s">
        <v>37</v>
      </c>
      <c r="D27" s="6" t="s">
        <v>29</v>
      </c>
      <c r="E27" s="7" t="n">
        <v>7000</v>
      </c>
      <c r="F27" s="7" t="n">
        <f aca="false">E27*0.25</f>
        <v>1750</v>
      </c>
      <c r="G27" s="7" t="n">
        <v>700</v>
      </c>
      <c r="H27" s="7" t="n">
        <f aca="false">E27*0.1175</f>
        <v>822.5</v>
      </c>
      <c r="I27" s="7" t="n">
        <v>350</v>
      </c>
      <c r="J27" s="7" t="n">
        <v>500</v>
      </c>
      <c r="K27" s="7" t="n">
        <f aca="false">SUM(E27:J27)</f>
        <v>11122.5</v>
      </c>
      <c r="L27" s="7" t="n">
        <f aca="false">K27*12</f>
        <v>133470</v>
      </c>
    </row>
    <row r="28" customFormat="false" ht="15" hidden="false" customHeight="false" outlineLevel="0" collapsed="false">
      <c r="A28" s="2" t="s">
        <v>145</v>
      </c>
      <c r="B28" s="2" t="s">
        <v>146</v>
      </c>
      <c r="C28" s="2" t="s">
        <v>120</v>
      </c>
      <c r="D28" s="2" t="s">
        <v>50</v>
      </c>
      <c r="E28" s="3" t="n">
        <v>12000</v>
      </c>
      <c r="F28" s="3" t="n">
        <f aca="false">E28*0.25</f>
        <v>3000</v>
      </c>
      <c r="G28" s="3" t="n">
        <v>700</v>
      </c>
      <c r="H28" s="3" t="n">
        <f aca="false">E28*0.1175</f>
        <v>1410</v>
      </c>
      <c r="I28" s="3" t="n">
        <v>350</v>
      </c>
      <c r="J28" s="3" t="n">
        <v>500</v>
      </c>
      <c r="K28" s="3" t="n">
        <f aca="false">SUM(E28:J28)</f>
        <v>17960</v>
      </c>
      <c r="L28" s="3" t="n">
        <f aca="false">K28*12</f>
        <v>215520</v>
      </c>
    </row>
    <row r="29" customFormat="false" ht="15" hidden="false" customHeight="false" outlineLevel="0" collapsed="false">
      <c r="A29" s="6" t="s">
        <v>151</v>
      </c>
      <c r="B29" s="6" t="s">
        <v>152</v>
      </c>
      <c r="C29" s="6" t="s">
        <v>27</v>
      </c>
      <c r="D29" s="6" t="s">
        <v>50</v>
      </c>
      <c r="E29" s="7" t="n">
        <v>13500</v>
      </c>
      <c r="F29" s="7" t="n">
        <f aca="false">E29*0.25</f>
        <v>3375</v>
      </c>
      <c r="G29" s="7" t="n">
        <v>700</v>
      </c>
      <c r="H29" s="7" t="n">
        <f aca="false">E29*0.1175</f>
        <v>1586.25</v>
      </c>
      <c r="I29" s="7" t="n">
        <v>350</v>
      </c>
      <c r="J29" s="7" t="n">
        <v>200</v>
      </c>
      <c r="K29" s="7" t="n">
        <f aca="false">SUM(E29:J29)</f>
        <v>19711.25</v>
      </c>
      <c r="L29" s="7" t="n">
        <f aca="false">K29*12</f>
        <v>236535</v>
      </c>
    </row>
    <row r="30" customFormat="false" ht="15" hidden="false" customHeight="false" outlineLevel="0" collapsed="false">
      <c r="A30" s="2" t="s">
        <v>153</v>
      </c>
      <c r="B30" s="2" t="s">
        <v>154</v>
      </c>
      <c r="C30" s="2" t="s">
        <v>46</v>
      </c>
      <c r="D30" s="2" t="s">
        <v>29</v>
      </c>
      <c r="E30" s="3" t="n">
        <v>13500</v>
      </c>
      <c r="F30" s="3" t="n">
        <f aca="false">E30*0.25</f>
        <v>3375</v>
      </c>
      <c r="G30" s="3" t="n">
        <v>700</v>
      </c>
      <c r="H30" s="3" t="n">
        <f aca="false">E30*0.1175</f>
        <v>1586.25</v>
      </c>
      <c r="I30" s="3" t="n">
        <v>800</v>
      </c>
      <c r="J30" s="3" t="n">
        <v>200</v>
      </c>
      <c r="K30" s="3" t="n">
        <f aca="false">SUM(E30:J30)</f>
        <v>20161.25</v>
      </c>
      <c r="L30" s="3" t="n">
        <f aca="false">K30*12</f>
        <v>241935</v>
      </c>
    </row>
    <row r="31" customFormat="false" ht="15" hidden="false" customHeight="false" outlineLevel="0" collapsed="false">
      <c r="A31" s="6" t="s">
        <v>155</v>
      </c>
      <c r="B31" s="6" t="s">
        <v>156</v>
      </c>
      <c r="C31" s="6" t="s">
        <v>46</v>
      </c>
      <c r="D31" s="6" t="s">
        <v>50</v>
      </c>
      <c r="E31" s="7" t="n">
        <v>10500</v>
      </c>
      <c r="F31" s="7" t="n">
        <f aca="false">E31*0.25</f>
        <v>2625</v>
      </c>
      <c r="G31" s="7" t="n">
        <v>700</v>
      </c>
      <c r="H31" s="7" t="n">
        <f aca="false">E31*0.1175</f>
        <v>1233.75</v>
      </c>
      <c r="I31" s="7" t="n">
        <v>350</v>
      </c>
      <c r="J31" s="7" t="n">
        <v>500</v>
      </c>
      <c r="K31" s="7" t="n">
        <f aca="false">SUM(E31:J31)</f>
        <v>15908.75</v>
      </c>
      <c r="L31" s="7" t="n">
        <f aca="false">K31*12</f>
        <v>190905</v>
      </c>
    </row>
    <row r="32" customFormat="false" ht="15" hidden="false" customHeight="false" outlineLevel="0" collapsed="false">
      <c r="A32" s="2" t="s">
        <v>157</v>
      </c>
      <c r="B32" s="2" t="s">
        <v>158</v>
      </c>
      <c r="C32" s="2" t="s">
        <v>76</v>
      </c>
      <c r="D32" s="2" t="s">
        <v>29</v>
      </c>
      <c r="E32" s="3" t="n">
        <v>13000</v>
      </c>
      <c r="F32" s="3" t="n">
        <f aca="false">E32*0.25</f>
        <v>3250</v>
      </c>
      <c r="G32" s="3" t="n">
        <v>700</v>
      </c>
      <c r="H32" s="3" t="n">
        <f aca="false">E32*0.1175</f>
        <v>1527.5</v>
      </c>
      <c r="I32" s="3" t="n">
        <v>650</v>
      </c>
      <c r="J32" s="3" t="n">
        <v>300</v>
      </c>
      <c r="K32" s="3" t="n">
        <f aca="false">SUM(E32:J32)</f>
        <v>19427.5</v>
      </c>
      <c r="L32" s="3" t="n">
        <f aca="false">K32*12</f>
        <v>233130</v>
      </c>
    </row>
    <row r="33" customFormat="false" ht="15" hidden="false" customHeight="false" outlineLevel="0" collapsed="false">
      <c r="A33" s="6" t="s">
        <v>159</v>
      </c>
      <c r="B33" s="6" t="s">
        <v>160</v>
      </c>
      <c r="C33" s="6" t="s">
        <v>37</v>
      </c>
      <c r="D33" s="6" t="s">
        <v>50</v>
      </c>
      <c r="E33" s="7" t="n">
        <v>9500</v>
      </c>
      <c r="F33" s="7" t="n">
        <f aca="false">E33*0.25</f>
        <v>2375</v>
      </c>
      <c r="G33" s="7" t="n">
        <v>700</v>
      </c>
      <c r="H33" s="7" t="n">
        <f aca="false">E33*0.1175</f>
        <v>1116.25</v>
      </c>
      <c r="I33" s="7" t="n">
        <v>800</v>
      </c>
      <c r="J33" s="7" t="n">
        <v>0</v>
      </c>
      <c r="K33" s="7" t="n">
        <f aca="false">SUM(E33:J33)</f>
        <v>14491.25</v>
      </c>
      <c r="L33" s="7" t="n">
        <f aca="false">K33*12</f>
        <v>173895</v>
      </c>
    </row>
    <row r="34" customFormat="false" ht="15" hidden="false" customHeight="false" outlineLevel="0" collapsed="false">
      <c r="A34" s="2" t="s">
        <v>161</v>
      </c>
      <c r="B34" s="2" t="s">
        <v>162</v>
      </c>
      <c r="C34" s="2" t="s">
        <v>27</v>
      </c>
      <c r="D34" s="2" t="s">
        <v>39</v>
      </c>
      <c r="E34" s="3" t="n">
        <v>13500</v>
      </c>
      <c r="F34" s="3" t="n">
        <f aca="false">E34*0.25</f>
        <v>3375</v>
      </c>
      <c r="G34" s="3" t="n">
        <v>700</v>
      </c>
      <c r="H34" s="3" t="n">
        <f aca="false">E34*0.1175</f>
        <v>1586.25</v>
      </c>
      <c r="I34" s="3" t="n">
        <v>650</v>
      </c>
      <c r="J34" s="3" t="n">
        <v>500</v>
      </c>
      <c r="K34" s="3" t="n">
        <f aca="false">SUM(E34:J34)</f>
        <v>20311.25</v>
      </c>
      <c r="L34" s="3" t="n">
        <f aca="false">K34*12</f>
        <v>243735</v>
      </c>
    </row>
    <row r="35" customFormat="false" ht="15" hidden="false" customHeight="false" outlineLevel="0" collapsed="false">
      <c r="A35" s="6" t="s">
        <v>163</v>
      </c>
      <c r="B35" s="6" t="s">
        <v>164</v>
      </c>
      <c r="C35" s="6" t="s">
        <v>54</v>
      </c>
      <c r="D35" s="6" t="s">
        <v>29</v>
      </c>
      <c r="E35" s="7" t="n">
        <v>9000</v>
      </c>
      <c r="F35" s="7" t="n">
        <f aca="false">E35*0.25</f>
        <v>2250</v>
      </c>
      <c r="G35" s="7" t="n">
        <v>700</v>
      </c>
      <c r="H35" s="7" t="n">
        <f aca="false">E35*0.1175</f>
        <v>1057.5</v>
      </c>
      <c r="I35" s="7" t="n">
        <v>650</v>
      </c>
      <c r="J35" s="7" t="n">
        <v>500</v>
      </c>
      <c r="K35" s="7" t="n">
        <f aca="false">SUM(E35:J35)</f>
        <v>14157.5</v>
      </c>
      <c r="L35" s="7" t="n">
        <f aca="false">K35*12</f>
        <v>169890</v>
      </c>
    </row>
    <row r="36" customFormat="false" ht="15" hidden="false" customHeight="false" outlineLevel="0" collapsed="false">
      <c r="A36" s="2" t="s">
        <v>166</v>
      </c>
      <c r="B36" s="2" t="s">
        <v>167</v>
      </c>
      <c r="C36" s="2" t="s">
        <v>54</v>
      </c>
      <c r="D36" s="2" t="s">
        <v>50</v>
      </c>
      <c r="E36" s="3" t="n">
        <v>11500</v>
      </c>
      <c r="F36" s="3" t="n">
        <f aca="false">E36*0.25</f>
        <v>2875</v>
      </c>
      <c r="G36" s="3" t="n">
        <v>700</v>
      </c>
      <c r="H36" s="3" t="n">
        <f aca="false">E36*0.1175</f>
        <v>1351.25</v>
      </c>
      <c r="I36" s="3" t="n">
        <v>350</v>
      </c>
      <c r="J36" s="3" t="n">
        <v>0</v>
      </c>
      <c r="K36" s="3" t="n">
        <f aca="false">SUM(E36:J36)</f>
        <v>16776.25</v>
      </c>
      <c r="L36" s="3" t="n">
        <f aca="false">K36*12</f>
        <v>201315</v>
      </c>
    </row>
    <row r="37" customFormat="false" ht="15" hidden="false" customHeight="false" outlineLevel="0" collapsed="false">
      <c r="A37" s="6" t="s">
        <v>168</v>
      </c>
      <c r="B37" s="6" t="s">
        <v>169</v>
      </c>
      <c r="C37" s="6" t="s">
        <v>37</v>
      </c>
      <c r="D37" s="6" t="s">
        <v>29</v>
      </c>
      <c r="E37" s="7" t="n">
        <v>5500</v>
      </c>
      <c r="F37" s="7" t="n">
        <f aca="false">E37*0.25</f>
        <v>1375</v>
      </c>
      <c r="G37" s="7" t="n">
        <v>700</v>
      </c>
      <c r="H37" s="7" t="n">
        <f aca="false">E37*0.1175</f>
        <v>646.25</v>
      </c>
      <c r="I37" s="7" t="n">
        <v>500</v>
      </c>
      <c r="J37" s="7" t="n">
        <v>300</v>
      </c>
      <c r="K37" s="7" t="n">
        <f aca="false">SUM(E37:J37)</f>
        <v>9021.25</v>
      </c>
      <c r="L37" s="7" t="n">
        <f aca="false">K37*12</f>
        <v>108255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61</v>
      </c>
      <c r="D38" s="2" t="s">
        <v>50</v>
      </c>
      <c r="E38" s="3" t="n">
        <v>11000</v>
      </c>
      <c r="F38" s="3" t="n">
        <f aca="false">E38*0.25</f>
        <v>2750</v>
      </c>
      <c r="G38" s="3" t="n">
        <v>700</v>
      </c>
      <c r="H38" s="3" t="n">
        <f aca="false">E38*0.1175</f>
        <v>1292.5</v>
      </c>
      <c r="I38" s="3" t="n">
        <v>500</v>
      </c>
      <c r="J38" s="3" t="n">
        <v>0</v>
      </c>
      <c r="K38" s="3" t="n">
        <f aca="false">SUM(E38:J38)</f>
        <v>16242.5</v>
      </c>
      <c r="L38" s="3" t="n">
        <f aca="false">K38*12</f>
        <v>194910</v>
      </c>
    </row>
    <row r="39" customFormat="false" ht="15" hidden="false" customHeight="false" outlineLevel="0" collapsed="false">
      <c r="A39" s="6" t="s">
        <v>172</v>
      </c>
      <c r="B39" s="6" t="s">
        <v>173</v>
      </c>
      <c r="C39" s="6" t="s">
        <v>27</v>
      </c>
      <c r="D39" s="6" t="s">
        <v>50</v>
      </c>
      <c r="E39" s="7" t="n">
        <v>12000</v>
      </c>
      <c r="F39" s="7" t="n">
        <f aca="false">E39*0.25</f>
        <v>3000</v>
      </c>
      <c r="G39" s="7" t="n">
        <v>700</v>
      </c>
      <c r="H39" s="7" t="n">
        <f aca="false">E39*0.1175</f>
        <v>1410</v>
      </c>
      <c r="I39" s="7" t="n">
        <v>800</v>
      </c>
      <c r="J39" s="7" t="n">
        <v>0</v>
      </c>
      <c r="K39" s="7" t="n">
        <f aca="false">SUM(E39:J39)</f>
        <v>17910</v>
      </c>
      <c r="L39" s="7" t="n">
        <f aca="false">K39*12</f>
        <v>214920</v>
      </c>
    </row>
    <row r="40" customFormat="false" ht="15" hidden="false" customHeight="false" outlineLevel="0" collapsed="false">
      <c r="A40" s="2" t="s">
        <v>174</v>
      </c>
      <c r="B40" s="2" t="s">
        <v>175</v>
      </c>
      <c r="C40" s="2" t="s">
        <v>61</v>
      </c>
      <c r="D40" s="2" t="s">
        <v>50</v>
      </c>
      <c r="E40" s="3" t="n">
        <v>8500</v>
      </c>
      <c r="F40" s="3" t="n">
        <f aca="false">E40*0.25</f>
        <v>2125</v>
      </c>
      <c r="G40" s="3" t="n">
        <v>700</v>
      </c>
      <c r="H40" s="3" t="n">
        <f aca="false">E40*0.1175</f>
        <v>998.75</v>
      </c>
      <c r="I40" s="3" t="n">
        <v>350</v>
      </c>
      <c r="J40" s="3" t="n">
        <v>500</v>
      </c>
      <c r="K40" s="3" t="n">
        <f aca="false">SUM(E40:J40)</f>
        <v>13173.75</v>
      </c>
      <c r="L40" s="3" t="n">
        <f aca="false">K40*12</f>
        <v>158085</v>
      </c>
    </row>
    <row r="41" customFormat="false" ht="15" hidden="false" customHeight="false" outlineLevel="0" collapsed="false">
      <c r="A41" s="6" t="s">
        <v>176</v>
      </c>
      <c r="B41" s="6" t="s">
        <v>177</v>
      </c>
      <c r="C41" s="6" t="s">
        <v>54</v>
      </c>
      <c r="D41" s="6" t="s">
        <v>50</v>
      </c>
      <c r="E41" s="7" t="n">
        <v>12000</v>
      </c>
      <c r="F41" s="7" t="n">
        <f aca="false">E41*0.25</f>
        <v>3000</v>
      </c>
      <c r="G41" s="7" t="n">
        <v>700</v>
      </c>
      <c r="H41" s="7" t="n">
        <f aca="false">E41*0.1175</f>
        <v>1410</v>
      </c>
      <c r="I41" s="7" t="n">
        <v>500</v>
      </c>
      <c r="J41" s="7" t="n">
        <v>300</v>
      </c>
      <c r="K41" s="7" t="n">
        <f aca="false">SUM(E41:J41)</f>
        <v>17910</v>
      </c>
      <c r="L41" s="7" t="n">
        <f aca="false">K41*12</f>
        <v>214920</v>
      </c>
    </row>
    <row r="42" customFormat="false" ht="15" hidden="false" customHeight="false" outlineLevel="0" collapsed="false">
      <c r="D42" s="14" t="s">
        <v>185</v>
      </c>
      <c r="E42" s="15" t="n">
        <f aca="false">SUM(E2:E41)</f>
        <v>422000</v>
      </c>
      <c r="F42" s="15" t="n">
        <f aca="false">SUM(F2:F41)</f>
        <v>105500</v>
      </c>
      <c r="G42" s="15" t="n">
        <f aca="false">SUM(G2:G41)</f>
        <v>28000</v>
      </c>
      <c r="H42" s="15" t="n">
        <f aca="false">SUM(H2:H41)</f>
        <v>49585</v>
      </c>
      <c r="I42" s="15" t="n">
        <f aca="false">SUM(I2:I41)</f>
        <v>23150</v>
      </c>
      <c r="J42" s="15" t="n">
        <f aca="false">SUM(J2:J41)</f>
        <v>12600</v>
      </c>
      <c r="K42" s="15" t="n">
        <f aca="false">SUM(K2:K41)</f>
        <v>640835</v>
      </c>
      <c r="L42" s="15" t="n">
        <f aca="false">SUM(L2:L41)</f>
        <v>7690020</v>
      </c>
    </row>
  </sheetData>
  <autoFilter ref="A1:L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8"/>
  </cols>
  <sheetData>
    <row r="1" customFormat="false" ht="26.85" hidden="false" customHeight="false" outlineLevel="0" collapsed="false">
      <c r="A1" s="1" t="s">
        <v>186</v>
      </c>
      <c r="B1" s="1" t="s">
        <v>187</v>
      </c>
      <c r="C1" s="1" t="s">
        <v>188</v>
      </c>
      <c r="D1" s="1" t="s">
        <v>189</v>
      </c>
      <c r="E1" s="1" t="s">
        <v>91</v>
      </c>
      <c r="F1" s="1" t="s">
        <v>190</v>
      </c>
      <c r="G1" s="1" t="s">
        <v>191</v>
      </c>
      <c r="H1" s="1" t="s">
        <v>192</v>
      </c>
      <c r="I1" s="1" t="s">
        <v>193</v>
      </c>
    </row>
    <row r="2" customFormat="false" ht="15" hidden="false" customHeight="false" outlineLevel="0" collapsed="false">
      <c r="A2" s="2" t="s">
        <v>194</v>
      </c>
      <c r="B2" s="2" t="n">
        <v>2025</v>
      </c>
      <c r="C2" s="2" t="n">
        <v>0</v>
      </c>
      <c r="D2" s="2" t="n">
        <v>0</v>
      </c>
      <c r="E2" s="2" t="n">
        <v>1</v>
      </c>
      <c r="F2" s="2" t="n">
        <f aca="false">D2+E2</f>
        <v>1</v>
      </c>
      <c r="G2" s="2" t="n">
        <v>38</v>
      </c>
      <c r="H2" s="2" t="n">
        <v>37</v>
      </c>
      <c r="I2" s="16" t="n">
        <f aca="false">IF(G2=0,0,F2/G2*100)</f>
        <v>2.63157894736842</v>
      </c>
    </row>
    <row r="3" customFormat="false" ht="15" hidden="false" customHeight="false" outlineLevel="0" collapsed="false">
      <c r="A3" s="6" t="s">
        <v>195</v>
      </c>
      <c r="B3" s="6" t="n">
        <v>2025</v>
      </c>
      <c r="C3" s="6" t="n">
        <v>0</v>
      </c>
      <c r="D3" s="6" t="n">
        <v>1</v>
      </c>
      <c r="E3" s="6" t="n">
        <v>1</v>
      </c>
      <c r="F3" s="6" t="n">
        <f aca="false">D3+E3</f>
        <v>2</v>
      </c>
      <c r="G3" s="6" t="n">
        <v>37</v>
      </c>
      <c r="H3" s="6" t="n">
        <v>35</v>
      </c>
      <c r="I3" s="17" t="n">
        <f aca="false">IF(G3=0,0,F3/G3*100)</f>
        <v>5.40540540540541</v>
      </c>
    </row>
    <row r="4" customFormat="false" ht="15" hidden="false" customHeight="false" outlineLevel="0" collapsed="false">
      <c r="A4" s="2" t="s">
        <v>196</v>
      </c>
      <c r="B4" s="2" t="n">
        <v>2025</v>
      </c>
      <c r="C4" s="2" t="n">
        <v>2</v>
      </c>
      <c r="D4" s="2" t="n">
        <v>1</v>
      </c>
      <c r="E4" s="2" t="n">
        <v>0</v>
      </c>
      <c r="F4" s="2" t="n">
        <f aca="false">D4+E4</f>
        <v>1</v>
      </c>
      <c r="G4" s="2" t="n">
        <v>35</v>
      </c>
      <c r="H4" s="2" t="n">
        <v>36</v>
      </c>
      <c r="I4" s="16" t="n">
        <f aca="false">IF(G4=0,0,F4/G4*100)</f>
        <v>2.85714285714286</v>
      </c>
    </row>
    <row r="5" customFormat="false" ht="15" hidden="false" customHeight="false" outlineLevel="0" collapsed="false">
      <c r="A5" s="6" t="s">
        <v>197</v>
      </c>
      <c r="B5" s="6" t="n">
        <v>2025</v>
      </c>
      <c r="C5" s="6" t="n">
        <v>1</v>
      </c>
      <c r="D5" s="6" t="n">
        <v>2</v>
      </c>
      <c r="E5" s="6" t="n">
        <v>1</v>
      </c>
      <c r="F5" s="6" t="n">
        <f aca="false">D5+E5</f>
        <v>3</v>
      </c>
      <c r="G5" s="6" t="n">
        <v>36</v>
      </c>
      <c r="H5" s="6" t="n">
        <v>34</v>
      </c>
      <c r="I5" s="17" t="n">
        <f aca="false">IF(G5=0,0,F5/G5*100)</f>
        <v>8.33333333333333</v>
      </c>
    </row>
    <row r="6" customFormat="false" ht="15" hidden="false" customHeight="false" outlineLevel="0" collapsed="false">
      <c r="A6" s="2" t="s">
        <v>198</v>
      </c>
      <c r="B6" s="2" t="n">
        <v>2025</v>
      </c>
      <c r="C6" s="2" t="n">
        <v>4</v>
      </c>
      <c r="D6" s="2" t="n">
        <v>2</v>
      </c>
      <c r="E6" s="2" t="n">
        <v>0</v>
      </c>
      <c r="F6" s="2" t="n">
        <f aca="false">D6+E6</f>
        <v>2</v>
      </c>
      <c r="G6" s="2" t="n">
        <v>34</v>
      </c>
      <c r="H6" s="2" t="n">
        <v>36</v>
      </c>
      <c r="I6" s="16" t="n">
        <f aca="false">IF(G6=0,0,F6/G6*100)</f>
        <v>5.88235294117647</v>
      </c>
    </row>
    <row r="7" customFormat="false" ht="15" hidden="false" customHeight="false" outlineLevel="0" collapsed="false">
      <c r="A7" s="6" t="s">
        <v>199</v>
      </c>
      <c r="B7" s="6" t="n">
        <v>2025</v>
      </c>
      <c r="C7" s="6" t="n">
        <v>1</v>
      </c>
      <c r="D7" s="6" t="n">
        <v>0</v>
      </c>
      <c r="E7" s="6" t="n">
        <v>0</v>
      </c>
      <c r="F7" s="6" t="n">
        <f aca="false">D7+E7</f>
        <v>0</v>
      </c>
      <c r="G7" s="6" t="n">
        <v>36</v>
      </c>
      <c r="H7" s="6" t="n">
        <v>37</v>
      </c>
      <c r="I7" s="17" t="n">
        <f aca="false">IF(G7=0,0,F7/G7*100)</f>
        <v>0</v>
      </c>
    </row>
    <row r="8" customFormat="false" ht="15" hidden="false" customHeight="false" outlineLevel="0" collapsed="false">
      <c r="A8" s="2" t="s">
        <v>200</v>
      </c>
      <c r="B8" s="2" t="n">
        <v>2025</v>
      </c>
      <c r="C8" s="2" t="n">
        <v>4</v>
      </c>
      <c r="D8" s="2" t="n">
        <v>1</v>
      </c>
      <c r="E8" s="2" t="n">
        <v>0</v>
      </c>
      <c r="F8" s="2" t="n">
        <f aca="false">D8+E8</f>
        <v>1</v>
      </c>
      <c r="G8" s="2" t="n">
        <v>37</v>
      </c>
      <c r="H8" s="2" t="n">
        <v>40</v>
      </c>
      <c r="I8" s="16" t="n">
        <f aca="false">IF(G8=0,0,F8/G8*100)</f>
        <v>2.7027027027027</v>
      </c>
    </row>
    <row r="9" customFormat="false" ht="15" hidden="false" customHeight="false" outlineLevel="0" collapsed="false">
      <c r="A9" s="6" t="s">
        <v>201</v>
      </c>
      <c r="B9" s="6" t="n">
        <v>2025</v>
      </c>
      <c r="C9" s="6" t="n">
        <v>3</v>
      </c>
      <c r="D9" s="6" t="n">
        <v>2</v>
      </c>
      <c r="E9" s="6" t="n">
        <v>0</v>
      </c>
      <c r="F9" s="6" t="n">
        <f aca="false">D9+E9</f>
        <v>2</v>
      </c>
      <c r="G9" s="6" t="n">
        <v>40</v>
      </c>
      <c r="H9" s="6" t="n">
        <v>41</v>
      </c>
      <c r="I9" s="17" t="n">
        <f aca="false">IF(G9=0,0,F9/G9*100)</f>
        <v>5</v>
      </c>
    </row>
    <row r="10" customFormat="false" ht="15" hidden="false" customHeight="false" outlineLevel="0" collapsed="false">
      <c r="A10" s="2" t="s">
        <v>202</v>
      </c>
      <c r="B10" s="2" t="n">
        <v>2025</v>
      </c>
      <c r="C10" s="2" t="n">
        <v>1</v>
      </c>
      <c r="D10" s="2" t="n">
        <v>1</v>
      </c>
      <c r="E10" s="2" t="n">
        <v>1</v>
      </c>
      <c r="F10" s="2" t="n">
        <f aca="false">D10+E10</f>
        <v>2</v>
      </c>
      <c r="G10" s="2" t="n">
        <v>41</v>
      </c>
      <c r="H10" s="2" t="n">
        <v>40</v>
      </c>
      <c r="I10" s="16" t="n">
        <f aca="false">IF(G10=0,0,F10/G10*100)</f>
        <v>4.87804878048781</v>
      </c>
    </row>
    <row r="11" customFormat="false" ht="15" hidden="false" customHeight="false" outlineLevel="0" collapsed="false">
      <c r="A11" s="6" t="s">
        <v>203</v>
      </c>
      <c r="B11" s="6" t="n">
        <v>2025</v>
      </c>
      <c r="C11" s="6" t="n">
        <v>3</v>
      </c>
      <c r="D11" s="6" t="n">
        <v>1</v>
      </c>
      <c r="E11" s="6" t="n">
        <v>0</v>
      </c>
      <c r="F11" s="6" t="n">
        <f aca="false">D11+E11</f>
        <v>1</v>
      </c>
      <c r="G11" s="6" t="n">
        <v>40</v>
      </c>
      <c r="H11" s="6" t="n">
        <v>42</v>
      </c>
      <c r="I11" s="17" t="n">
        <f aca="false">IF(G11=0,0,F11/G11*100)</f>
        <v>2.5</v>
      </c>
    </row>
    <row r="12" customFormat="false" ht="15" hidden="false" customHeight="false" outlineLevel="0" collapsed="false">
      <c r="A12" s="2" t="s">
        <v>204</v>
      </c>
      <c r="B12" s="2" t="n">
        <v>2025</v>
      </c>
      <c r="C12" s="2" t="n">
        <v>3</v>
      </c>
      <c r="D12" s="2" t="n">
        <v>1</v>
      </c>
      <c r="E12" s="2" t="n">
        <v>0</v>
      </c>
      <c r="F12" s="2" t="n">
        <f aca="false">D12+E12</f>
        <v>1</v>
      </c>
      <c r="G12" s="2" t="n">
        <v>42</v>
      </c>
      <c r="H12" s="2" t="n">
        <v>44</v>
      </c>
      <c r="I12" s="16" t="n">
        <f aca="false">IF(G12=0,0,F12/G12*100)</f>
        <v>2.38095238095238</v>
      </c>
    </row>
    <row r="13" customFormat="false" ht="15" hidden="false" customHeight="false" outlineLevel="0" collapsed="false">
      <c r="A13" s="6" t="s">
        <v>205</v>
      </c>
      <c r="B13" s="6" t="n">
        <v>2025</v>
      </c>
      <c r="C13" s="6" t="n">
        <v>0</v>
      </c>
      <c r="D13" s="6" t="n">
        <v>1</v>
      </c>
      <c r="E13" s="6" t="n">
        <v>1</v>
      </c>
      <c r="F13" s="6" t="n">
        <f aca="false">D13+E13</f>
        <v>2</v>
      </c>
      <c r="G13" s="6" t="n">
        <v>44</v>
      </c>
      <c r="H13" s="6" t="n">
        <v>42</v>
      </c>
      <c r="I13" s="17" t="n">
        <f aca="false">IF(G13=0,0,F13/G13*100)</f>
        <v>4.54545454545455</v>
      </c>
    </row>
    <row r="14" customFormat="false" ht="15" hidden="false" customHeight="false" outlineLevel="0" collapsed="false">
      <c r="A14" s="2" t="s">
        <v>194</v>
      </c>
      <c r="B14" s="2" t="n">
        <v>2026</v>
      </c>
      <c r="C14" s="2" t="n">
        <v>4</v>
      </c>
      <c r="D14" s="2" t="n">
        <v>1</v>
      </c>
      <c r="E14" s="2" t="n">
        <v>1</v>
      </c>
      <c r="F14" s="2" t="n">
        <f aca="false">D14+E14</f>
        <v>2</v>
      </c>
      <c r="G14" s="2" t="n">
        <v>42</v>
      </c>
      <c r="H14" s="2" t="n">
        <v>44</v>
      </c>
      <c r="I14" s="16" t="n">
        <f aca="false">IF(G14=0,0,F14/G14*100)</f>
        <v>4.76190476190476</v>
      </c>
    </row>
    <row r="15" customFormat="false" ht="15" hidden="false" customHeight="false" outlineLevel="0" collapsed="false">
      <c r="A15" s="6" t="s">
        <v>195</v>
      </c>
      <c r="B15" s="6" t="n">
        <v>2026</v>
      </c>
      <c r="C15" s="6" t="n">
        <v>2</v>
      </c>
      <c r="D15" s="6" t="n">
        <v>1</v>
      </c>
      <c r="E15" s="6" t="n">
        <v>1</v>
      </c>
      <c r="F15" s="6" t="n">
        <f aca="false">D15+E15</f>
        <v>2</v>
      </c>
      <c r="G15" s="6" t="n">
        <v>44</v>
      </c>
      <c r="H15" s="6" t="n">
        <v>44</v>
      </c>
      <c r="I15" s="17" t="n">
        <f aca="false">IF(G15=0,0,F15/G15*100)</f>
        <v>4.54545454545455</v>
      </c>
    </row>
    <row r="16" customFormat="false" ht="15" hidden="false" customHeight="false" outlineLevel="0" collapsed="false">
      <c r="A16" s="2" t="s">
        <v>196</v>
      </c>
      <c r="B16" s="2" t="n">
        <v>2026</v>
      </c>
      <c r="C16" s="2" t="n">
        <v>1</v>
      </c>
      <c r="D16" s="2" t="n">
        <v>1</v>
      </c>
      <c r="E16" s="2" t="n">
        <v>1</v>
      </c>
      <c r="F16" s="2" t="n">
        <f aca="false">D16+E16</f>
        <v>2</v>
      </c>
      <c r="G16" s="2" t="n">
        <v>44</v>
      </c>
      <c r="H16" s="2" t="n">
        <v>43</v>
      </c>
      <c r="I16" s="16" t="n">
        <f aca="false">IF(G16=0,0,F16/G16*100)</f>
        <v>4.54545454545455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10" min="5" style="0" width="16"/>
    <col collapsed="false" customWidth="true" hidden="false" outlineLevel="0" max="11" min="1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8</v>
      </c>
      <c r="D1" s="1" t="s">
        <v>9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</row>
    <row r="2" customFormat="false" ht="15" hidden="false" customHeight="false" outlineLevel="0" collapsed="false">
      <c r="A2" s="2" t="s">
        <v>32</v>
      </c>
      <c r="B2" s="2" t="s">
        <v>33</v>
      </c>
      <c r="C2" s="2" t="s">
        <v>37</v>
      </c>
      <c r="D2" s="2" t="s">
        <v>38</v>
      </c>
      <c r="E2" s="2" t="n">
        <v>52</v>
      </c>
      <c r="F2" s="2" t="n">
        <v>57</v>
      </c>
      <c r="G2" s="2" t="n">
        <v>59</v>
      </c>
      <c r="H2" s="2" t="n">
        <v>64</v>
      </c>
      <c r="I2" s="16" t="n">
        <f aca="false">AVERAGE(E2:H2)</f>
        <v>58</v>
      </c>
      <c r="J2" s="2" t="str">
        <f aca="false">IF(I2&gt;=90,"ممتاز",IF(I2&gt;=80,"جيد جداً",IF(I2&gt;=70,"جيد","يحتاج تطوير")))</f>
        <v>يحتاج تطوير</v>
      </c>
      <c r="K2" s="2" t="str">
        <f aca="false">IF(I2&gt;=90,"ترقية / مكافأة",IF(I2&gt;=80,"تطوير مهني",IF(I2&gt;=70,"خطة تحسين","إنذار / متابعة")))</f>
        <v>إنذار / متابعة</v>
      </c>
    </row>
    <row r="3" customFormat="false" ht="15" hidden="false" customHeight="false" outlineLevel="0" collapsed="false">
      <c r="A3" s="6" t="s">
        <v>41</v>
      </c>
      <c r="B3" s="6" t="s">
        <v>42</v>
      </c>
      <c r="C3" s="6" t="s">
        <v>46</v>
      </c>
      <c r="D3" s="6" t="s">
        <v>47</v>
      </c>
      <c r="E3" s="6" t="n">
        <v>75</v>
      </c>
      <c r="F3" s="6" t="n">
        <v>82</v>
      </c>
      <c r="G3" s="6" t="n">
        <v>76</v>
      </c>
      <c r="H3" s="6" t="n">
        <v>85</v>
      </c>
      <c r="I3" s="17" t="n">
        <f aca="false">AVERAGE(E3:H3)</f>
        <v>79.5</v>
      </c>
      <c r="J3" s="6" t="str">
        <f aca="false">IF(I3&gt;=90,"ممتاز",IF(I3&gt;=80,"جيد جداً",IF(I3&gt;=70,"جيد","يحتاج تطوير")))</f>
        <v>جيد</v>
      </c>
      <c r="K3" s="6" t="str">
        <f aca="false">IF(I3&gt;=90,"ترقية / مكافأة",IF(I3&gt;=80,"تطوير مهني",IF(I3&gt;=70,"خطة تحسين","إنذار / متابعة")))</f>
        <v>خطة تحسين</v>
      </c>
    </row>
    <row r="4" customFormat="false" ht="15" hidden="false" customHeight="false" outlineLevel="0" collapsed="false">
      <c r="A4" s="2" t="s">
        <v>48</v>
      </c>
      <c r="B4" s="2" t="s">
        <v>49</v>
      </c>
      <c r="C4" s="2" t="s">
        <v>37</v>
      </c>
      <c r="D4" s="2" t="s">
        <v>38</v>
      </c>
      <c r="E4" s="2" t="n">
        <v>79</v>
      </c>
      <c r="F4" s="2" t="n">
        <v>78</v>
      </c>
      <c r="G4" s="2" t="n">
        <v>87</v>
      </c>
      <c r="H4" s="2" t="n">
        <v>85</v>
      </c>
      <c r="I4" s="16" t="n">
        <f aca="false">AVERAGE(E4:H4)</f>
        <v>82.25</v>
      </c>
      <c r="J4" s="2" t="str">
        <f aca="false">IF(I4&gt;=90,"ممتاز",IF(I4&gt;=80,"جيد جداً",IF(I4&gt;=70,"جيد","يحتاج تطوير")))</f>
        <v>جيد جداً</v>
      </c>
      <c r="K4" s="2" t="str">
        <f aca="false">IF(I4&gt;=90,"ترقية / مكافأة",IF(I4&gt;=80,"تطوير مهني",IF(I4&gt;=70,"خطة تحسين","إنذار / متابعة")))</f>
        <v>تطوير مهني</v>
      </c>
    </row>
    <row r="5" customFormat="false" ht="15" hidden="false" customHeight="false" outlineLevel="0" collapsed="false">
      <c r="A5" s="6" t="s">
        <v>51</v>
      </c>
      <c r="B5" s="6" t="s">
        <v>52</v>
      </c>
      <c r="C5" s="6" t="s">
        <v>54</v>
      </c>
      <c r="D5" s="6" t="s">
        <v>55</v>
      </c>
      <c r="E5" s="6" t="n">
        <v>81</v>
      </c>
      <c r="F5" s="6" t="n">
        <v>80</v>
      </c>
      <c r="G5" s="6" t="n">
        <v>88</v>
      </c>
      <c r="H5" s="6" t="n">
        <v>94</v>
      </c>
      <c r="I5" s="17" t="n">
        <f aca="false">AVERAGE(E5:H5)</f>
        <v>85.75</v>
      </c>
      <c r="J5" s="6" t="str">
        <f aca="false">IF(I5&gt;=90,"ممتاز",IF(I5&gt;=80,"جيد جداً",IF(I5&gt;=70,"جيد","يحتاج تطوير")))</f>
        <v>جيد جداً</v>
      </c>
      <c r="K5" s="6" t="str">
        <f aca="false">IF(I5&gt;=90,"ترقية / مكافأة",IF(I5&gt;=80,"تطوير مهني",IF(I5&gt;=70,"خطة تحسين","إنذار / متابعة")))</f>
        <v>تطوير مهني</v>
      </c>
    </row>
    <row r="6" customFormat="false" ht="15" hidden="false" customHeight="false" outlineLevel="0" collapsed="false">
      <c r="A6" s="2" t="s">
        <v>68</v>
      </c>
      <c r="B6" s="2" t="s">
        <v>69</v>
      </c>
      <c r="C6" s="2" t="s">
        <v>27</v>
      </c>
      <c r="D6" s="2" t="s">
        <v>71</v>
      </c>
      <c r="E6" s="2" t="n">
        <v>72</v>
      </c>
      <c r="F6" s="2" t="n">
        <v>77</v>
      </c>
      <c r="G6" s="2" t="n">
        <v>75</v>
      </c>
      <c r="H6" s="2" t="n">
        <v>66</v>
      </c>
      <c r="I6" s="16" t="n">
        <f aca="false">AVERAGE(E6:H6)</f>
        <v>72.5</v>
      </c>
      <c r="J6" s="2" t="str">
        <f aca="false">IF(I6&gt;=90,"ممتاز",IF(I6&gt;=80,"جيد جداً",IF(I6&gt;=70,"جيد","يحتاج تطوير")))</f>
        <v>جيد</v>
      </c>
      <c r="K6" s="2" t="str">
        <f aca="false">IF(I6&gt;=90,"ترقية / مكافأة",IF(I6&gt;=80,"تطوير مهني",IF(I6&gt;=70,"خطة تحسين","إنذار / متابعة")))</f>
        <v>خطة تحسين</v>
      </c>
    </row>
    <row r="7" customFormat="false" ht="15" hidden="false" customHeight="false" outlineLevel="0" collapsed="false">
      <c r="A7" s="6" t="s">
        <v>72</v>
      </c>
      <c r="B7" s="6" t="s">
        <v>73</v>
      </c>
      <c r="C7" s="6" t="s">
        <v>27</v>
      </c>
      <c r="D7" s="6" t="s">
        <v>28</v>
      </c>
      <c r="E7" s="6" t="n">
        <v>94</v>
      </c>
      <c r="F7" s="6" t="n">
        <v>99</v>
      </c>
      <c r="G7" s="6" t="n">
        <v>94</v>
      </c>
      <c r="H7" s="6" t="n">
        <v>100</v>
      </c>
      <c r="I7" s="17" t="n">
        <f aca="false">AVERAGE(E7:H7)</f>
        <v>96.75</v>
      </c>
      <c r="J7" s="6" t="str">
        <f aca="false">IF(I7&gt;=90,"ممتاز",IF(I7&gt;=80,"جيد جداً",IF(I7&gt;=70,"جيد","يحتاج تطوير")))</f>
        <v>ممتاز</v>
      </c>
      <c r="K7" s="6" t="str">
        <f aca="false">IF(I7&gt;=90,"ترقية / مكافأة",IF(I7&gt;=80,"تطوير مهني",IF(I7&gt;=70,"خطة تحسين","إنذار / متابعة")))</f>
        <v>ترقية / مكافأة</v>
      </c>
    </row>
    <row r="8" customFormat="false" ht="15" hidden="false" customHeight="false" outlineLevel="0" collapsed="false">
      <c r="A8" s="2" t="s">
        <v>74</v>
      </c>
      <c r="B8" s="2" t="s">
        <v>75</v>
      </c>
      <c r="C8" s="2" t="s">
        <v>76</v>
      </c>
      <c r="D8" s="2" t="s">
        <v>77</v>
      </c>
      <c r="E8" s="2" t="n">
        <v>60</v>
      </c>
      <c r="F8" s="2" t="n">
        <v>71</v>
      </c>
      <c r="G8" s="2" t="n">
        <v>70</v>
      </c>
      <c r="H8" s="2" t="n">
        <v>63</v>
      </c>
      <c r="I8" s="16" t="n">
        <f aca="false">AVERAGE(E8:H8)</f>
        <v>66</v>
      </c>
      <c r="J8" s="2" t="str">
        <f aca="false">IF(I8&gt;=90,"ممتاز",IF(I8&gt;=80,"جيد جداً",IF(I8&gt;=70,"جيد","يحتاج تطوير")))</f>
        <v>يحتاج تطوير</v>
      </c>
      <c r="K8" s="2" t="str">
        <f aca="false">IF(I8&gt;=90,"ترقية / مكافأة",IF(I8&gt;=80,"تطوير مهني",IF(I8&gt;=70,"خطة تحسين","إنذار / متابعة")))</f>
        <v>إنذار / متابعة</v>
      </c>
    </row>
    <row r="9" customFormat="false" ht="15" hidden="false" customHeight="false" outlineLevel="0" collapsed="false">
      <c r="A9" s="6" t="s">
        <v>78</v>
      </c>
      <c r="B9" s="6" t="s">
        <v>79</v>
      </c>
      <c r="C9" s="6" t="s">
        <v>27</v>
      </c>
      <c r="D9" s="6" t="s">
        <v>71</v>
      </c>
      <c r="E9" s="6" t="n">
        <v>69</v>
      </c>
      <c r="F9" s="6" t="n">
        <v>75</v>
      </c>
      <c r="G9" s="6" t="n">
        <v>67</v>
      </c>
      <c r="H9" s="6" t="n">
        <v>67</v>
      </c>
      <c r="I9" s="17" t="n">
        <f aca="false">AVERAGE(E9:H9)</f>
        <v>69.5</v>
      </c>
      <c r="J9" s="6" t="str">
        <f aca="false">IF(I9&gt;=90,"ممتاز",IF(I9&gt;=80,"جيد جداً",IF(I9&gt;=70,"جيد","يحتاج تطوير")))</f>
        <v>يحتاج تطوير</v>
      </c>
      <c r="K9" s="6" t="str">
        <f aca="false">IF(I9&gt;=90,"ترقية / مكافأة",IF(I9&gt;=80,"تطوير مهني",IF(I9&gt;=70,"خطة تحسين","إنذار / متابعة")))</f>
        <v>إنذار / متابعة</v>
      </c>
    </row>
    <row r="10" customFormat="false" ht="15" hidden="false" customHeight="false" outlineLevel="0" collapsed="false">
      <c r="A10" s="2" t="s">
        <v>80</v>
      </c>
      <c r="B10" s="2" t="s">
        <v>81</v>
      </c>
      <c r="C10" s="2" t="s">
        <v>27</v>
      </c>
      <c r="D10" s="2" t="s">
        <v>82</v>
      </c>
      <c r="E10" s="2" t="n">
        <v>77</v>
      </c>
      <c r="F10" s="2" t="n">
        <v>73</v>
      </c>
      <c r="G10" s="2" t="n">
        <v>78</v>
      </c>
      <c r="H10" s="2" t="n">
        <v>75</v>
      </c>
      <c r="I10" s="16" t="n">
        <f aca="false">AVERAGE(E10:H10)</f>
        <v>75.75</v>
      </c>
      <c r="J10" s="2" t="str">
        <f aca="false">IF(I10&gt;=90,"ممتاز",IF(I10&gt;=80,"جيد جداً",IF(I10&gt;=70,"جيد","يحتاج تطوير")))</f>
        <v>جيد</v>
      </c>
      <c r="K10" s="2" t="str">
        <f aca="false">IF(I10&gt;=90,"ترقية / مكافأة",IF(I10&gt;=80,"تطوير مهني",IF(I10&gt;=70,"خطة تحسين","إنذار / متابعة")))</f>
        <v>خطة تحسين</v>
      </c>
    </row>
    <row r="11" customFormat="false" ht="15" hidden="false" customHeight="false" outlineLevel="0" collapsed="false">
      <c r="A11" s="6" t="s">
        <v>83</v>
      </c>
      <c r="B11" s="6" t="s">
        <v>84</v>
      </c>
      <c r="C11" s="6" t="s">
        <v>61</v>
      </c>
      <c r="D11" s="6" t="s">
        <v>62</v>
      </c>
      <c r="E11" s="6" t="n">
        <v>86</v>
      </c>
      <c r="F11" s="6" t="n">
        <v>91</v>
      </c>
      <c r="G11" s="6" t="n">
        <v>89</v>
      </c>
      <c r="H11" s="6" t="n">
        <v>92</v>
      </c>
      <c r="I11" s="17" t="n">
        <f aca="false">AVERAGE(E11:H11)</f>
        <v>89.5</v>
      </c>
      <c r="J11" s="6" t="str">
        <f aca="false">IF(I11&gt;=90,"ممتاز",IF(I11&gt;=80,"جيد جداً",IF(I11&gt;=70,"جيد","يحتاج تطوير")))</f>
        <v>جيد جداً</v>
      </c>
      <c r="K11" s="6" t="str">
        <f aca="false">IF(I11&gt;=90,"ترقية / مكافأة",IF(I11&gt;=80,"تطوير مهني",IF(I11&gt;=70,"خطة تحسين","إنذار / متابعة")))</f>
        <v>تطوير مهني</v>
      </c>
    </row>
    <row r="12" customFormat="false" ht="15" hidden="false" customHeight="false" outlineLevel="0" collapsed="false">
      <c r="A12" s="2" t="s">
        <v>85</v>
      </c>
      <c r="B12" s="2" t="s">
        <v>86</v>
      </c>
      <c r="C12" s="2" t="s">
        <v>76</v>
      </c>
      <c r="D12" s="2" t="s">
        <v>87</v>
      </c>
      <c r="E12" s="2" t="n">
        <v>99</v>
      </c>
      <c r="F12" s="2" t="n">
        <v>100</v>
      </c>
      <c r="G12" s="2" t="n">
        <v>93</v>
      </c>
      <c r="H12" s="2" t="n">
        <v>100</v>
      </c>
      <c r="I12" s="16" t="n">
        <f aca="false">AVERAGE(E12:H12)</f>
        <v>98</v>
      </c>
      <c r="J12" s="2" t="str">
        <f aca="false">IF(I12&gt;=90,"ممتاز",IF(I12&gt;=80,"جيد جداً",IF(I12&gt;=70,"جيد","يحتاج تطوير")))</f>
        <v>ممتاز</v>
      </c>
      <c r="K12" s="2" t="str">
        <f aca="false">IF(I12&gt;=90,"ترقية / مكافأة",IF(I12&gt;=80,"تطوير مهني",IF(I12&gt;=70,"خطة تحسين","إنذار / متابعة")))</f>
        <v>ترقية / مكافأة</v>
      </c>
    </row>
    <row r="13" customFormat="false" ht="15" hidden="false" customHeight="false" outlineLevel="0" collapsed="false">
      <c r="A13" s="6" t="s">
        <v>93</v>
      </c>
      <c r="B13" s="6" t="s">
        <v>94</v>
      </c>
      <c r="C13" s="6" t="s">
        <v>27</v>
      </c>
      <c r="D13" s="6" t="s">
        <v>95</v>
      </c>
      <c r="E13" s="6" t="n">
        <v>92</v>
      </c>
      <c r="F13" s="6" t="n">
        <v>100</v>
      </c>
      <c r="G13" s="6" t="n">
        <v>100</v>
      </c>
      <c r="H13" s="6" t="n">
        <v>95</v>
      </c>
      <c r="I13" s="17" t="n">
        <f aca="false">AVERAGE(E13:H13)</f>
        <v>96.75</v>
      </c>
      <c r="J13" s="6" t="str">
        <f aca="false">IF(I13&gt;=90,"ممتاز",IF(I13&gt;=80,"جيد جداً",IF(I13&gt;=70,"جيد","يحتاج تطوير")))</f>
        <v>ممتاز</v>
      </c>
      <c r="K13" s="6" t="str">
        <f aca="false">IF(I13&gt;=90,"ترقية / مكافأة",IF(I13&gt;=80,"تطوير مهني",IF(I13&gt;=70,"خطة تحسين","إنذار / متابعة")))</f>
        <v>ترقية / مكافأة</v>
      </c>
    </row>
    <row r="14" customFormat="false" ht="15" hidden="false" customHeight="false" outlineLevel="0" collapsed="false">
      <c r="A14" s="2" t="s">
        <v>96</v>
      </c>
      <c r="B14" s="2" t="s">
        <v>97</v>
      </c>
      <c r="C14" s="2" t="s">
        <v>54</v>
      </c>
      <c r="D14" s="2" t="s">
        <v>55</v>
      </c>
      <c r="E14" s="2" t="n">
        <v>68</v>
      </c>
      <c r="F14" s="2" t="n">
        <v>79</v>
      </c>
      <c r="G14" s="2" t="n">
        <v>73</v>
      </c>
      <c r="H14" s="2" t="n">
        <v>68</v>
      </c>
      <c r="I14" s="16" t="n">
        <f aca="false">AVERAGE(E14:H14)</f>
        <v>72</v>
      </c>
      <c r="J14" s="2" t="str">
        <f aca="false">IF(I14&gt;=90,"ممتاز",IF(I14&gt;=80,"جيد جداً",IF(I14&gt;=70,"جيد","يحتاج تطوير")))</f>
        <v>جيد</v>
      </c>
      <c r="K14" s="2" t="str">
        <f aca="false">IF(I14&gt;=90,"ترقية / مكافأة",IF(I14&gt;=80,"تطوير مهني",IF(I14&gt;=70,"خطة تحسين","إنذار / متابعة")))</f>
        <v>خطة تحسين</v>
      </c>
    </row>
    <row r="15" customFormat="false" ht="15" hidden="false" customHeight="false" outlineLevel="0" collapsed="false">
      <c r="A15" s="6" t="s">
        <v>98</v>
      </c>
      <c r="B15" s="6" t="s">
        <v>99</v>
      </c>
      <c r="C15" s="6" t="s">
        <v>46</v>
      </c>
      <c r="D15" s="6" t="s">
        <v>66</v>
      </c>
      <c r="E15" s="6" t="n">
        <v>57</v>
      </c>
      <c r="F15" s="6" t="n">
        <v>56</v>
      </c>
      <c r="G15" s="6" t="n">
        <v>61</v>
      </c>
      <c r="H15" s="6" t="n">
        <v>54</v>
      </c>
      <c r="I15" s="17" t="n">
        <f aca="false">AVERAGE(E15:H15)</f>
        <v>57</v>
      </c>
      <c r="J15" s="6" t="str">
        <f aca="false">IF(I15&gt;=90,"ممتاز",IF(I15&gt;=80,"جيد جداً",IF(I15&gt;=70,"جيد","يحتاج تطوير")))</f>
        <v>يحتاج تطوير</v>
      </c>
      <c r="K15" s="6" t="str">
        <f aca="false">IF(I15&gt;=90,"ترقية / مكافأة",IF(I15&gt;=80,"تطوير مهني",IF(I15&gt;=70,"خطة تحسين","إنذار / متابعة")))</f>
        <v>إنذار / متابعة</v>
      </c>
    </row>
    <row r="16" customFormat="false" ht="15" hidden="false" customHeight="false" outlineLevel="0" collapsed="false">
      <c r="A16" s="2" t="s">
        <v>100</v>
      </c>
      <c r="B16" s="2" t="s">
        <v>101</v>
      </c>
      <c r="C16" s="2" t="s">
        <v>46</v>
      </c>
      <c r="D16" s="2" t="s">
        <v>47</v>
      </c>
      <c r="E16" s="2" t="n">
        <v>70</v>
      </c>
      <c r="F16" s="2" t="n">
        <v>76</v>
      </c>
      <c r="G16" s="2" t="n">
        <v>76</v>
      </c>
      <c r="H16" s="2" t="n">
        <v>84</v>
      </c>
      <c r="I16" s="16" t="n">
        <f aca="false">AVERAGE(E16:H16)</f>
        <v>76.5</v>
      </c>
      <c r="J16" s="2" t="str">
        <f aca="false">IF(I16&gt;=90,"ممتاز",IF(I16&gt;=80,"جيد جداً",IF(I16&gt;=70,"جيد","يحتاج تطوير")))</f>
        <v>جيد</v>
      </c>
      <c r="K16" s="2" t="str">
        <f aca="false">IF(I16&gt;=90,"ترقية / مكافأة",IF(I16&gt;=80,"تطوير مهني",IF(I16&gt;=70,"خطة تحسين","إنذار / متابعة")))</f>
        <v>خطة تحسين</v>
      </c>
    </row>
    <row r="17" customFormat="false" ht="15" hidden="false" customHeight="false" outlineLevel="0" collapsed="false">
      <c r="A17" s="6" t="s">
        <v>102</v>
      </c>
      <c r="B17" s="6" t="s">
        <v>103</v>
      </c>
      <c r="C17" s="6" t="s">
        <v>54</v>
      </c>
      <c r="D17" s="6" t="s">
        <v>55</v>
      </c>
      <c r="E17" s="6" t="n">
        <v>66</v>
      </c>
      <c r="F17" s="6" t="n">
        <v>65</v>
      </c>
      <c r="G17" s="6" t="n">
        <v>65</v>
      </c>
      <c r="H17" s="6" t="n">
        <v>66</v>
      </c>
      <c r="I17" s="17" t="n">
        <f aca="false">AVERAGE(E17:H17)</f>
        <v>65.5</v>
      </c>
      <c r="J17" s="6" t="str">
        <f aca="false">IF(I17&gt;=90,"ممتاز",IF(I17&gt;=80,"جيد جداً",IF(I17&gt;=70,"جيد","يحتاج تطوير")))</f>
        <v>يحتاج تطوير</v>
      </c>
      <c r="K17" s="6" t="str">
        <f aca="false">IF(I17&gt;=90,"ترقية / مكافأة",IF(I17&gt;=80,"تطوير مهني",IF(I17&gt;=70,"خطة تحسين","إنذار / متابعة")))</f>
        <v>إنذار / متابعة</v>
      </c>
    </row>
    <row r="18" customFormat="false" ht="15" hidden="false" customHeight="false" outlineLevel="0" collapsed="false">
      <c r="A18" s="2" t="s">
        <v>104</v>
      </c>
      <c r="B18" s="2" t="s">
        <v>105</v>
      </c>
      <c r="C18" s="2" t="s">
        <v>37</v>
      </c>
      <c r="D18" s="2" t="s">
        <v>106</v>
      </c>
      <c r="E18" s="2" t="n">
        <v>66</v>
      </c>
      <c r="F18" s="2" t="n">
        <v>65</v>
      </c>
      <c r="G18" s="2" t="n">
        <v>61</v>
      </c>
      <c r="H18" s="2" t="n">
        <v>66</v>
      </c>
      <c r="I18" s="16" t="n">
        <f aca="false">AVERAGE(E18:H18)</f>
        <v>64.5</v>
      </c>
      <c r="J18" s="2" t="str">
        <f aca="false">IF(I18&gt;=90,"ممتاز",IF(I18&gt;=80,"جيد جداً",IF(I18&gt;=70,"جيد","يحتاج تطوير")))</f>
        <v>يحتاج تطوير</v>
      </c>
      <c r="K18" s="2" t="str">
        <f aca="false">IF(I18&gt;=90,"ترقية / مكافأة",IF(I18&gt;=80,"تطوير مهني",IF(I18&gt;=70,"خطة تحسين","إنذار / متابعة")))</f>
        <v>إنذار / متابعة</v>
      </c>
    </row>
    <row r="19" customFormat="false" ht="15" hidden="false" customHeight="false" outlineLevel="0" collapsed="false">
      <c r="A19" s="6" t="s">
        <v>107</v>
      </c>
      <c r="B19" s="6" t="s">
        <v>108</v>
      </c>
      <c r="C19" s="6" t="s">
        <v>54</v>
      </c>
      <c r="D19" s="6" t="s">
        <v>109</v>
      </c>
      <c r="E19" s="6" t="n">
        <v>94</v>
      </c>
      <c r="F19" s="6" t="n">
        <v>93</v>
      </c>
      <c r="G19" s="6" t="n">
        <v>90</v>
      </c>
      <c r="H19" s="6" t="n">
        <v>94</v>
      </c>
      <c r="I19" s="17" t="n">
        <f aca="false">AVERAGE(E19:H19)</f>
        <v>92.75</v>
      </c>
      <c r="J19" s="6" t="str">
        <f aca="false">IF(I19&gt;=90,"ممتاز",IF(I19&gt;=80,"جيد جداً",IF(I19&gt;=70,"جيد","يحتاج تطوير")))</f>
        <v>ممتاز</v>
      </c>
      <c r="K19" s="6" t="str">
        <f aca="false">IF(I19&gt;=90,"ترقية / مكافأة",IF(I19&gt;=80,"تطوير مهني",IF(I19&gt;=70,"خطة تحسين","إنذار / متابعة")))</f>
        <v>ترقية / مكافأة</v>
      </c>
    </row>
    <row r="20" customFormat="false" ht="15" hidden="false" customHeight="false" outlineLevel="0" collapsed="false">
      <c r="A20" s="2" t="s">
        <v>112</v>
      </c>
      <c r="B20" s="2" t="s">
        <v>113</v>
      </c>
      <c r="C20" s="2" t="s">
        <v>46</v>
      </c>
      <c r="D20" s="2" t="s">
        <v>114</v>
      </c>
      <c r="E20" s="2" t="n">
        <v>72</v>
      </c>
      <c r="F20" s="2" t="n">
        <v>69</v>
      </c>
      <c r="G20" s="2" t="n">
        <v>73</v>
      </c>
      <c r="H20" s="2" t="n">
        <v>67</v>
      </c>
      <c r="I20" s="16" t="n">
        <f aca="false">AVERAGE(E20:H20)</f>
        <v>70.25</v>
      </c>
      <c r="J20" s="2" t="str">
        <f aca="false">IF(I20&gt;=90,"ممتاز",IF(I20&gt;=80,"جيد جداً",IF(I20&gt;=70,"جيد","يحتاج تطوير")))</f>
        <v>جيد</v>
      </c>
      <c r="K20" s="2" t="str">
        <f aca="false">IF(I20&gt;=90,"ترقية / مكافأة",IF(I20&gt;=80,"تطوير مهني",IF(I20&gt;=70,"خطة تحسين","إنذار / متابعة")))</f>
        <v>خطة تحسين</v>
      </c>
    </row>
    <row r="21" customFormat="false" ht="15" hidden="false" customHeight="false" outlineLevel="0" collapsed="false">
      <c r="A21" s="6" t="s">
        <v>115</v>
      </c>
      <c r="B21" s="6" t="s">
        <v>116</v>
      </c>
      <c r="C21" s="6" t="s">
        <v>61</v>
      </c>
      <c r="D21" s="6" t="s">
        <v>117</v>
      </c>
      <c r="E21" s="6" t="n">
        <v>100</v>
      </c>
      <c r="F21" s="6" t="n">
        <v>100</v>
      </c>
      <c r="G21" s="6" t="n">
        <v>97</v>
      </c>
      <c r="H21" s="6" t="n">
        <v>100</v>
      </c>
      <c r="I21" s="17" t="n">
        <f aca="false">AVERAGE(E21:H21)</f>
        <v>99.25</v>
      </c>
      <c r="J21" s="6" t="str">
        <f aca="false">IF(I21&gt;=90,"ممتاز",IF(I21&gt;=80,"جيد جداً",IF(I21&gt;=70,"جيد","يحتاج تطوير")))</f>
        <v>ممتاز</v>
      </c>
      <c r="K21" s="6" t="str">
        <f aca="false">IF(I21&gt;=90,"ترقية / مكافأة",IF(I21&gt;=80,"تطوير مهني",IF(I21&gt;=70,"خطة تحسين","إنذار / متابعة")))</f>
        <v>ترقية / مكافأة</v>
      </c>
    </row>
    <row r="22" customFormat="false" ht="15" hidden="false" customHeight="false" outlineLevel="0" collapsed="false">
      <c r="A22" s="2" t="s">
        <v>118</v>
      </c>
      <c r="B22" s="2" t="s">
        <v>119</v>
      </c>
      <c r="C22" s="2" t="s">
        <v>120</v>
      </c>
      <c r="D22" s="2" t="s">
        <v>121</v>
      </c>
      <c r="E22" s="2" t="n">
        <v>62</v>
      </c>
      <c r="F22" s="2" t="n">
        <v>71</v>
      </c>
      <c r="G22" s="2" t="n">
        <v>64</v>
      </c>
      <c r="H22" s="2" t="n">
        <v>67</v>
      </c>
      <c r="I22" s="16" t="n">
        <f aca="false">AVERAGE(E22:H22)</f>
        <v>66</v>
      </c>
      <c r="J22" s="2" t="str">
        <f aca="false">IF(I22&gt;=90,"ممتاز",IF(I22&gt;=80,"جيد جداً",IF(I22&gt;=70,"جيد","يحتاج تطوير")))</f>
        <v>يحتاج تطوير</v>
      </c>
      <c r="K22" s="2" t="str">
        <f aca="false">IF(I22&gt;=90,"ترقية / مكافأة",IF(I22&gt;=80,"تطوير مهني",IF(I22&gt;=70,"خطة تحسين","إنذار / متابعة")))</f>
        <v>إنذار / متابعة</v>
      </c>
    </row>
    <row r="23" customFormat="false" ht="15" hidden="false" customHeight="false" outlineLevel="0" collapsed="false">
      <c r="A23" s="6" t="s">
        <v>122</v>
      </c>
      <c r="B23" s="6" t="s">
        <v>123</v>
      </c>
      <c r="C23" s="6" t="s">
        <v>61</v>
      </c>
      <c r="D23" s="6" t="s">
        <v>124</v>
      </c>
      <c r="E23" s="6" t="n">
        <v>66</v>
      </c>
      <c r="F23" s="6" t="n">
        <v>60</v>
      </c>
      <c r="G23" s="6" t="n">
        <v>66</v>
      </c>
      <c r="H23" s="6" t="n">
        <v>69</v>
      </c>
      <c r="I23" s="17" t="n">
        <f aca="false">AVERAGE(E23:H23)</f>
        <v>65.25</v>
      </c>
      <c r="J23" s="6" t="str">
        <f aca="false">IF(I23&gt;=90,"ممتاز",IF(I23&gt;=80,"جيد جداً",IF(I23&gt;=70,"جيد","يحتاج تطوير")))</f>
        <v>يحتاج تطوير</v>
      </c>
      <c r="K23" s="6" t="str">
        <f aca="false">IF(I23&gt;=90,"ترقية / مكافأة",IF(I23&gt;=80,"تطوير مهني",IF(I23&gt;=70,"خطة تحسين","إنذار / متابعة")))</f>
        <v>إنذار / متابعة</v>
      </c>
    </row>
    <row r="24" customFormat="false" ht="15" hidden="false" customHeight="false" outlineLevel="0" collapsed="false">
      <c r="A24" s="2" t="s">
        <v>129</v>
      </c>
      <c r="B24" s="2" t="s">
        <v>130</v>
      </c>
      <c r="C24" s="2" t="s">
        <v>54</v>
      </c>
      <c r="D24" s="2" t="s">
        <v>109</v>
      </c>
      <c r="E24" s="2" t="n">
        <v>64</v>
      </c>
      <c r="F24" s="2" t="n">
        <v>63</v>
      </c>
      <c r="G24" s="2" t="n">
        <v>68</v>
      </c>
      <c r="H24" s="2" t="n">
        <v>66</v>
      </c>
      <c r="I24" s="16" t="n">
        <f aca="false">AVERAGE(E24:H24)</f>
        <v>65.25</v>
      </c>
      <c r="J24" s="2" t="str">
        <f aca="false">IF(I24&gt;=90,"ممتاز",IF(I24&gt;=80,"جيد جداً",IF(I24&gt;=70,"جيد","يحتاج تطوير")))</f>
        <v>يحتاج تطوير</v>
      </c>
      <c r="K24" s="2" t="str">
        <f aca="false">IF(I24&gt;=90,"ترقية / مكافأة",IF(I24&gt;=80,"تطوير مهني",IF(I24&gt;=70,"خطة تحسين","إنذار / متابعة")))</f>
        <v>إنذار / متابعة</v>
      </c>
    </row>
    <row r="25" customFormat="false" ht="15" hidden="false" customHeight="false" outlineLevel="0" collapsed="false">
      <c r="A25" s="6" t="s">
        <v>135</v>
      </c>
      <c r="B25" s="6" t="s">
        <v>136</v>
      </c>
      <c r="C25" s="6" t="s">
        <v>61</v>
      </c>
      <c r="D25" s="6" t="s">
        <v>137</v>
      </c>
      <c r="E25" s="6" t="n">
        <v>56</v>
      </c>
      <c r="F25" s="6" t="n">
        <v>55</v>
      </c>
      <c r="G25" s="6" t="n">
        <v>65</v>
      </c>
      <c r="H25" s="6" t="n">
        <v>61</v>
      </c>
      <c r="I25" s="17" t="n">
        <f aca="false">AVERAGE(E25:H25)</f>
        <v>59.25</v>
      </c>
      <c r="J25" s="6" t="str">
        <f aca="false">IF(I25&gt;=90,"ممتاز",IF(I25&gt;=80,"جيد جداً",IF(I25&gt;=70,"جيد","يحتاج تطوير")))</f>
        <v>يحتاج تطوير</v>
      </c>
      <c r="K25" s="6" t="str">
        <f aca="false">IF(I25&gt;=90,"ترقية / مكافأة",IF(I25&gt;=80,"تطوير مهني",IF(I25&gt;=70,"خطة تحسين","إنذار / متابعة")))</f>
        <v>إنذار / متابعة</v>
      </c>
    </row>
    <row r="26" customFormat="false" ht="15" hidden="false" customHeight="false" outlineLevel="0" collapsed="false">
      <c r="A26" s="2" t="s">
        <v>138</v>
      </c>
      <c r="B26" s="2" t="s">
        <v>139</v>
      </c>
      <c r="C26" s="2" t="s">
        <v>54</v>
      </c>
      <c r="D26" s="2" t="s">
        <v>140</v>
      </c>
      <c r="E26" s="2" t="n">
        <v>76</v>
      </c>
      <c r="F26" s="2" t="n">
        <v>83</v>
      </c>
      <c r="G26" s="2" t="n">
        <v>86</v>
      </c>
      <c r="H26" s="2" t="n">
        <v>81</v>
      </c>
      <c r="I26" s="16" t="n">
        <f aca="false">AVERAGE(E26:H26)</f>
        <v>81.5</v>
      </c>
      <c r="J26" s="2" t="str">
        <f aca="false">IF(I26&gt;=90,"ممتاز",IF(I26&gt;=80,"جيد جداً",IF(I26&gt;=70,"جيد","يحتاج تطوير")))</f>
        <v>جيد جداً</v>
      </c>
      <c r="K26" s="2" t="str">
        <f aca="false">IF(I26&gt;=90,"ترقية / مكافأة",IF(I26&gt;=80,"تطوير مهني",IF(I26&gt;=70,"خطة تحسين","إنذار / متابعة")))</f>
        <v>تطوير مهني</v>
      </c>
    </row>
    <row r="27" customFormat="false" ht="15" hidden="false" customHeight="false" outlineLevel="0" collapsed="false">
      <c r="A27" s="6" t="s">
        <v>141</v>
      </c>
      <c r="B27" s="6" t="s">
        <v>142</v>
      </c>
      <c r="C27" s="6" t="s">
        <v>37</v>
      </c>
      <c r="D27" s="6" t="s">
        <v>38</v>
      </c>
      <c r="E27" s="6" t="n">
        <v>67</v>
      </c>
      <c r="F27" s="6" t="n">
        <v>68</v>
      </c>
      <c r="G27" s="6" t="n">
        <v>72</v>
      </c>
      <c r="H27" s="6" t="n">
        <v>75</v>
      </c>
      <c r="I27" s="17" t="n">
        <f aca="false">AVERAGE(E27:H27)</f>
        <v>70.5</v>
      </c>
      <c r="J27" s="6" t="str">
        <f aca="false">IF(I27&gt;=90,"ممتاز",IF(I27&gt;=80,"جيد جداً",IF(I27&gt;=70,"جيد","يحتاج تطوير")))</f>
        <v>جيد</v>
      </c>
      <c r="K27" s="6" t="str">
        <f aca="false">IF(I27&gt;=90,"ترقية / مكافأة",IF(I27&gt;=80,"تطوير مهني",IF(I27&gt;=70,"خطة تحسين","إنذار / متابعة")))</f>
        <v>خطة تحسين</v>
      </c>
    </row>
    <row r="28" customFormat="false" ht="15" hidden="false" customHeight="false" outlineLevel="0" collapsed="false">
      <c r="A28" s="2" t="s">
        <v>145</v>
      </c>
      <c r="B28" s="2" t="s">
        <v>146</v>
      </c>
      <c r="C28" s="2" t="s">
        <v>120</v>
      </c>
      <c r="D28" s="2" t="s">
        <v>147</v>
      </c>
      <c r="E28" s="2" t="n">
        <v>88</v>
      </c>
      <c r="F28" s="2" t="n">
        <v>85</v>
      </c>
      <c r="G28" s="2" t="n">
        <v>89</v>
      </c>
      <c r="H28" s="2" t="n">
        <v>88</v>
      </c>
      <c r="I28" s="16" t="n">
        <f aca="false">AVERAGE(E28:H28)</f>
        <v>87.5</v>
      </c>
      <c r="J28" s="2" t="str">
        <f aca="false">IF(I28&gt;=90,"ممتاز",IF(I28&gt;=80,"جيد جداً",IF(I28&gt;=70,"جيد","يحتاج تطوير")))</f>
        <v>جيد جداً</v>
      </c>
      <c r="K28" s="2" t="str">
        <f aca="false">IF(I28&gt;=90,"ترقية / مكافأة",IF(I28&gt;=80,"تطوير مهني",IF(I28&gt;=70,"خطة تحسين","إنذار / متابعة")))</f>
        <v>تطوير مهني</v>
      </c>
    </row>
    <row r="29" customFormat="false" ht="15" hidden="false" customHeight="false" outlineLevel="0" collapsed="false">
      <c r="A29" s="6" t="s">
        <v>151</v>
      </c>
      <c r="B29" s="6" t="s">
        <v>152</v>
      </c>
      <c r="C29" s="6" t="s">
        <v>27</v>
      </c>
      <c r="D29" s="6" t="s">
        <v>95</v>
      </c>
      <c r="E29" s="6" t="n">
        <v>82</v>
      </c>
      <c r="F29" s="6" t="n">
        <v>82</v>
      </c>
      <c r="G29" s="6" t="n">
        <v>76</v>
      </c>
      <c r="H29" s="6" t="n">
        <v>74</v>
      </c>
      <c r="I29" s="17" t="n">
        <f aca="false">AVERAGE(E29:H29)</f>
        <v>78.5</v>
      </c>
      <c r="J29" s="6" t="str">
        <f aca="false">IF(I29&gt;=90,"ممتاز",IF(I29&gt;=80,"جيد جداً",IF(I29&gt;=70,"جيد","يحتاج تطوير")))</f>
        <v>جيد</v>
      </c>
      <c r="K29" s="6" t="str">
        <f aca="false">IF(I29&gt;=90,"ترقية / مكافأة",IF(I29&gt;=80,"تطوير مهني",IF(I29&gt;=70,"خطة تحسين","إنذار / متابعة")))</f>
        <v>خطة تحسين</v>
      </c>
    </row>
    <row r="30" customFormat="false" ht="15" hidden="false" customHeight="false" outlineLevel="0" collapsed="false">
      <c r="A30" s="2" t="s">
        <v>153</v>
      </c>
      <c r="B30" s="2" t="s">
        <v>154</v>
      </c>
      <c r="C30" s="2" t="s">
        <v>46</v>
      </c>
      <c r="D30" s="2" t="s">
        <v>47</v>
      </c>
      <c r="E30" s="2" t="n">
        <v>87</v>
      </c>
      <c r="F30" s="2" t="n">
        <v>83</v>
      </c>
      <c r="G30" s="2" t="n">
        <v>86</v>
      </c>
      <c r="H30" s="2" t="n">
        <v>81</v>
      </c>
      <c r="I30" s="16" t="n">
        <f aca="false">AVERAGE(E30:H30)</f>
        <v>84.25</v>
      </c>
      <c r="J30" s="2" t="str">
        <f aca="false">IF(I30&gt;=90,"ممتاز",IF(I30&gt;=80,"جيد جداً",IF(I30&gt;=70,"جيد","يحتاج تطوير")))</f>
        <v>جيد جداً</v>
      </c>
      <c r="K30" s="2" t="str">
        <f aca="false">IF(I30&gt;=90,"ترقية / مكافأة",IF(I30&gt;=80,"تطوير مهني",IF(I30&gt;=70,"خطة تحسين","إنذار / متابعة")))</f>
        <v>تطوير مهني</v>
      </c>
    </row>
    <row r="31" customFormat="false" ht="15" hidden="false" customHeight="false" outlineLevel="0" collapsed="false">
      <c r="A31" s="6" t="s">
        <v>155</v>
      </c>
      <c r="B31" s="6" t="s">
        <v>156</v>
      </c>
      <c r="C31" s="6" t="s">
        <v>46</v>
      </c>
      <c r="D31" s="6" t="s">
        <v>47</v>
      </c>
      <c r="E31" s="6" t="n">
        <v>73</v>
      </c>
      <c r="F31" s="6" t="n">
        <v>75</v>
      </c>
      <c r="G31" s="6" t="n">
        <v>71</v>
      </c>
      <c r="H31" s="6" t="n">
        <v>82</v>
      </c>
      <c r="I31" s="17" t="n">
        <f aca="false">AVERAGE(E31:H31)</f>
        <v>75.25</v>
      </c>
      <c r="J31" s="6" t="str">
        <f aca="false">IF(I31&gt;=90,"ممتاز",IF(I31&gt;=80,"جيد جداً",IF(I31&gt;=70,"جيد","يحتاج تطوير")))</f>
        <v>جيد</v>
      </c>
      <c r="K31" s="6" t="str">
        <f aca="false">IF(I31&gt;=90,"ترقية / مكافأة",IF(I31&gt;=80,"تطوير مهني",IF(I31&gt;=70,"خطة تحسين","إنذار / متابعة")))</f>
        <v>خطة تحسين</v>
      </c>
    </row>
    <row r="32" customFormat="false" ht="15" hidden="false" customHeight="false" outlineLevel="0" collapsed="false">
      <c r="A32" s="2" t="s">
        <v>157</v>
      </c>
      <c r="B32" s="2" t="s">
        <v>158</v>
      </c>
      <c r="C32" s="2" t="s">
        <v>76</v>
      </c>
      <c r="D32" s="2" t="s">
        <v>133</v>
      </c>
      <c r="E32" s="2" t="n">
        <v>61</v>
      </c>
      <c r="F32" s="2" t="n">
        <v>58</v>
      </c>
      <c r="G32" s="2" t="n">
        <v>64</v>
      </c>
      <c r="H32" s="2" t="n">
        <v>57</v>
      </c>
      <c r="I32" s="16" t="n">
        <f aca="false">AVERAGE(E32:H32)</f>
        <v>60</v>
      </c>
      <c r="J32" s="2" t="str">
        <f aca="false">IF(I32&gt;=90,"ممتاز",IF(I32&gt;=80,"جيد جداً",IF(I32&gt;=70,"جيد","يحتاج تطوير")))</f>
        <v>يحتاج تطوير</v>
      </c>
      <c r="K32" s="2" t="str">
        <f aca="false">IF(I32&gt;=90,"ترقية / مكافأة",IF(I32&gt;=80,"تطوير مهني",IF(I32&gt;=70,"خطة تحسين","إنذار / متابعة")))</f>
        <v>إنذار / متابعة</v>
      </c>
    </row>
    <row r="33" customFormat="false" ht="15" hidden="false" customHeight="false" outlineLevel="0" collapsed="false">
      <c r="A33" s="6" t="s">
        <v>159</v>
      </c>
      <c r="B33" s="6" t="s">
        <v>160</v>
      </c>
      <c r="C33" s="6" t="s">
        <v>37</v>
      </c>
      <c r="D33" s="6" t="s">
        <v>38</v>
      </c>
      <c r="E33" s="6" t="n">
        <v>83</v>
      </c>
      <c r="F33" s="6" t="n">
        <v>89</v>
      </c>
      <c r="G33" s="6" t="n">
        <v>82</v>
      </c>
      <c r="H33" s="6" t="n">
        <v>91</v>
      </c>
      <c r="I33" s="17" t="n">
        <f aca="false">AVERAGE(E33:H33)</f>
        <v>86.25</v>
      </c>
      <c r="J33" s="6" t="str">
        <f aca="false">IF(I33&gt;=90,"ممتاز",IF(I33&gt;=80,"جيد جداً",IF(I33&gt;=70,"جيد","يحتاج تطوير")))</f>
        <v>جيد جداً</v>
      </c>
      <c r="K33" s="6" t="str">
        <f aca="false">IF(I33&gt;=90,"ترقية / مكافأة",IF(I33&gt;=80,"تطوير مهني",IF(I33&gt;=70,"خطة تحسين","إنذار / متابعة")))</f>
        <v>تطوير مهني</v>
      </c>
    </row>
    <row r="34" customFormat="false" ht="15" hidden="false" customHeight="false" outlineLevel="0" collapsed="false">
      <c r="A34" s="2" t="s">
        <v>161</v>
      </c>
      <c r="B34" s="2" t="s">
        <v>162</v>
      </c>
      <c r="C34" s="2" t="s">
        <v>27</v>
      </c>
      <c r="D34" s="2" t="s">
        <v>28</v>
      </c>
      <c r="E34" s="2" t="n">
        <v>61</v>
      </c>
      <c r="F34" s="2" t="n">
        <v>57</v>
      </c>
      <c r="G34" s="2" t="n">
        <v>62</v>
      </c>
      <c r="H34" s="2" t="n">
        <v>60</v>
      </c>
      <c r="I34" s="16" t="n">
        <f aca="false">AVERAGE(E34:H34)</f>
        <v>60</v>
      </c>
      <c r="J34" s="2" t="str">
        <f aca="false">IF(I34&gt;=90,"ممتاز",IF(I34&gt;=80,"جيد جداً",IF(I34&gt;=70,"جيد","يحتاج تطوير")))</f>
        <v>يحتاج تطوير</v>
      </c>
      <c r="K34" s="2" t="str">
        <f aca="false">IF(I34&gt;=90,"ترقية / مكافأة",IF(I34&gt;=80,"تطوير مهني",IF(I34&gt;=70,"خطة تحسين","إنذار / متابعة")))</f>
        <v>إنذار / متابعة</v>
      </c>
    </row>
    <row r="35" customFormat="false" ht="15" hidden="false" customHeight="false" outlineLevel="0" collapsed="false">
      <c r="A35" s="6" t="s">
        <v>163</v>
      </c>
      <c r="B35" s="6" t="s">
        <v>164</v>
      </c>
      <c r="C35" s="6" t="s">
        <v>54</v>
      </c>
      <c r="D35" s="6" t="s">
        <v>165</v>
      </c>
      <c r="E35" s="6" t="n">
        <v>58</v>
      </c>
      <c r="F35" s="6" t="n">
        <v>62</v>
      </c>
      <c r="G35" s="6" t="n">
        <v>59</v>
      </c>
      <c r="H35" s="6" t="n">
        <v>61</v>
      </c>
      <c r="I35" s="17" t="n">
        <f aca="false">AVERAGE(E35:H35)</f>
        <v>60</v>
      </c>
      <c r="J35" s="6" t="str">
        <f aca="false">IF(I35&gt;=90,"ممتاز",IF(I35&gt;=80,"جيد جداً",IF(I35&gt;=70,"جيد","يحتاج تطوير")))</f>
        <v>يحتاج تطوير</v>
      </c>
      <c r="K35" s="6" t="str">
        <f aca="false">IF(I35&gt;=90,"ترقية / مكافأة",IF(I35&gt;=80,"تطوير مهني",IF(I35&gt;=70,"خطة تحسين","إنذار / متابعة")))</f>
        <v>إنذار / متابعة</v>
      </c>
    </row>
    <row r="36" customFormat="false" ht="15" hidden="false" customHeight="false" outlineLevel="0" collapsed="false">
      <c r="A36" s="2" t="s">
        <v>166</v>
      </c>
      <c r="B36" s="2" t="s">
        <v>167</v>
      </c>
      <c r="C36" s="2" t="s">
        <v>54</v>
      </c>
      <c r="D36" s="2" t="s">
        <v>165</v>
      </c>
      <c r="E36" s="2" t="n">
        <v>70</v>
      </c>
      <c r="F36" s="2" t="n">
        <v>76</v>
      </c>
      <c r="G36" s="2" t="n">
        <v>69</v>
      </c>
      <c r="H36" s="2" t="n">
        <v>71</v>
      </c>
      <c r="I36" s="16" t="n">
        <f aca="false">AVERAGE(E36:H36)</f>
        <v>71.5</v>
      </c>
      <c r="J36" s="2" t="str">
        <f aca="false">IF(I36&gt;=90,"ممتاز",IF(I36&gt;=80,"جيد جداً",IF(I36&gt;=70,"جيد","يحتاج تطوير")))</f>
        <v>جيد</v>
      </c>
      <c r="K36" s="2" t="str">
        <f aca="false">IF(I36&gt;=90,"ترقية / مكافأة",IF(I36&gt;=80,"تطوير مهني",IF(I36&gt;=70,"خطة تحسين","إنذار / متابعة")))</f>
        <v>خطة تحسين</v>
      </c>
    </row>
    <row r="37" customFormat="false" ht="15" hidden="false" customHeight="false" outlineLevel="0" collapsed="false">
      <c r="A37" s="6" t="s">
        <v>168</v>
      </c>
      <c r="B37" s="6" t="s">
        <v>169</v>
      </c>
      <c r="C37" s="6" t="s">
        <v>37</v>
      </c>
      <c r="D37" s="6" t="s">
        <v>38</v>
      </c>
      <c r="E37" s="6" t="n">
        <v>91</v>
      </c>
      <c r="F37" s="6" t="n">
        <v>99</v>
      </c>
      <c r="G37" s="6" t="n">
        <v>92</v>
      </c>
      <c r="H37" s="6" t="n">
        <v>98</v>
      </c>
      <c r="I37" s="17" t="n">
        <f aca="false">AVERAGE(E37:H37)</f>
        <v>95</v>
      </c>
      <c r="J37" s="6" t="str">
        <f aca="false">IF(I37&gt;=90,"ممتاز",IF(I37&gt;=80,"جيد جداً",IF(I37&gt;=70,"جيد","يحتاج تطوير")))</f>
        <v>ممتاز</v>
      </c>
      <c r="K37" s="6" t="str">
        <f aca="false">IF(I37&gt;=90,"ترقية / مكافأة",IF(I37&gt;=80,"تطوير مهني",IF(I37&gt;=70,"خطة تحسين","إنذار / متابعة")))</f>
        <v>ترقية / مكافأة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61</v>
      </c>
      <c r="D38" s="2" t="s">
        <v>137</v>
      </c>
      <c r="E38" s="2" t="n">
        <v>95</v>
      </c>
      <c r="F38" s="2" t="n">
        <v>96</v>
      </c>
      <c r="G38" s="2" t="n">
        <v>100</v>
      </c>
      <c r="H38" s="2" t="n">
        <v>100</v>
      </c>
      <c r="I38" s="16" t="n">
        <f aca="false">AVERAGE(E38:H38)</f>
        <v>97.75</v>
      </c>
      <c r="J38" s="2" t="str">
        <f aca="false">IF(I38&gt;=90,"ممتاز",IF(I38&gt;=80,"جيد جداً",IF(I38&gt;=70,"جيد","يحتاج تطوير")))</f>
        <v>ممتاز</v>
      </c>
      <c r="K38" s="2" t="str">
        <f aca="false">IF(I38&gt;=90,"ترقية / مكافأة",IF(I38&gt;=80,"تطوير مهني",IF(I38&gt;=70,"خطة تحسين","إنذار / متابعة")))</f>
        <v>ترقية / مكافأة</v>
      </c>
    </row>
    <row r="39" customFormat="false" ht="15" hidden="false" customHeight="false" outlineLevel="0" collapsed="false">
      <c r="A39" s="6" t="s">
        <v>172</v>
      </c>
      <c r="B39" s="6" t="s">
        <v>173</v>
      </c>
      <c r="C39" s="6" t="s">
        <v>27</v>
      </c>
      <c r="D39" s="6" t="s">
        <v>82</v>
      </c>
      <c r="E39" s="6" t="n">
        <v>89</v>
      </c>
      <c r="F39" s="6" t="n">
        <v>89</v>
      </c>
      <c r="G39" s="6" t="n">
        <v>86</v>
      </c>
      <c r="H39" s="6" t="n">
        <v>91</v>
      </c>
      <c r="I39" s="17" t="n">
        <f aca="false">AVERAGE(E39:H39)</f>
        <v>88.75</v>
      </c>
      <c r="J39" s="6" t="str">
        <f aca="false">IF(I39&gt;=90,"ممتاز",IF(I39&gt;=80,"جيد جداً",IF(I39&gt;=70,"جيد","يحتاج تطوير")))</f>
        <v>جيد جداً</v>
      </c>
      <c r="K39" s="6" t="str">
        <f aca="false">IF(I39&gt;=90,"ترقية / مكافأة",IF(I39&gt;=80,"تطوير مهني",IF(I39&gt;=70,"خطة تحسين","إنذار / متابعة")))</f>
        <v>تطوير مهني</v>
      </c>
    </row>
    <row r="40" customFormat="false" ht="15" hidden="false" customHeight="false" outlineLevel="0" collapsed="false">
      <c r="A40" s="2" t="s">
        <v>174</v>
      </c>
      <c r="B40" s="2" t="s">
        <v>175</v>
      </c>
      <c r="C40" s="2" t="s">
        <v>61</v>
      </c>
      <c r="D40" s="2" t="s">
        <v>117</v>
      </c>
      <c r="E40" s="2" t="n">
        <v>95</v>
      </c>
      <c r="F40" s="2" t="n">
        <v>98</v>
      </c>
      <c r="G40" s="2" t="n">
        <v>88</v>
      </c>
      <c r="H40" s="2" t="n">
        <v>100</v>
      </c>
      <c r="I40" s="16" t="n">
        <f aca="false">AVERAGE(E40:H40)</f>
        <v>95.25</v>
      </c>
      <c r="J40" s="2" t="str">
        <f aca="false">IF(I40&gt;=90,"ممتاز",IF(I40&gt;=80,"جيد جداً",IF(I40&gt;=70,"جيد","يحتاج تطوير")))</f>
        <v>ممتاز</v>
      </c>
      <c r="K40" s="2" t="str">
        <f aca="false">IF(I40&gt;=90,"ترقية / مكافأة",IF(I40&gt;=80,"تطوير مهني",IF(I40&gt;=70,"خطة تحسين","إنذار / متابعة")))</f>
        <v>ترقية / مكافأة</v>
      </c>
    </row>
    <row r="41" customFormat="false" ht="15" hidden="false" customHeight="false" outlineLevel="0" collapsed="false">
      <c r="A41" s="6" t="s">
        <v>176</v>
      </c>
      <c r="B41" s="6" t="s">
        <v>177</v>
      </c>
      <c r="C41" s="6" t="s">
        <v>54</v>
      </c>
      <c r="D41" s="6" t="s">
        <v>55</v>
      </c>
      <c r="E41" s="6" t="n">
        <v>98</v>
      </c>
      <c r="F41" s="6" t="n">
        <v>100</v>
      </c>
      <c r="G41" s="6" t="n">
        <v>95</v>
      </c>
      <c r="H41" s="6" t="n">
        <v>100</v>
      </c>
      <c r="I41" s="17" t="n">
        <f aca="false">AVERAGE(E41:H41)</f>
        <v>98.25</v>
      </c>
      <c r="J41" s="6" t="str">
        <f aca="false">IF(I41&gt;=90,"ممتاز",IF(I41&gt;=80,"جيد جداً",IF(I41&gt;=70,"جيد","يحتاج تطوير")))</f>
        <v>ممتاز</v>
      </c>
      <c r="K41" s="6" t="str">
        <f aca="false">IF(I41&gt;=90,"ترقية / مكافأة",IF(I41&gt;=80,"تطوير مهني",IF(I41&gt;=70,"خطة تحسين","إنذار / متابعة")))</f>
        <v>ترقية / مكافأة</v>
      </c>
    </row>
  </sheetData>
  <autoFilter ref="A1:K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2"/>
    <col collapsed="false" customWidth="true" hidden="false" outlineLevel="0" max="13" min="4" style="0" width="16"/>
  </cols>
  <sheetData>
    <row r="1" customFormat="false" ht="26.85" hidden="false" customHeight="false" outlineLevel="0" collapsed="false">
      <c r="A1" s="1" t="s">
        <v>213</v>
      </c>
      <c r="B1" s="1" t="s">
        <v>8</v>
      </c>
      <c r="C1" s="1" t="s">
        <v>9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13</v>
      </c>
    </row>
    <row r="2" customFormat="false" ht="15" hidden="false" customHeight="false" outlineLevel="0" collapsed="false">
      <c r="A2" s="2" t="s">
        <v>223</v>
      </c>
      <c r="B2" s="2" t="s">
        <v>61</v>
      </c>
      <c r="C2" s="2" t="s">
        <v>62</v>
      </c>
      <c r="D2" s="4" t="n">
        <v>45779</v>
      </c>
      <c r="E2" s="2" t="s">
        <v>224</v>
      </c>
      <c r="F2" s="2" t="n">
        <v>62</v>
      </c>
      <c r="G2" s="2" t="n">
        <v>11</v>
      </c>
      <c r="H2" s="2" t="n">
        <v>9</v>
      </c>
      <c r="I2" s="2" t="n">
        <v>3</v>
      </c>
      <c r="J2" s="2" t="n">
        <v>0</v>
      </c>
      <c r="K2" s="2" t="n">
        <v>37</v>
      </c>
      <c r="L2" s="3" t="n">
        <v>0</v>
      </c>
      <c r="M2" s="5" t="s">
        <v>225</v>
      </c>
    </row>
    <row r="3" customFormat="false" ht="15" hidden="false" customHeight="false" outlineLevel="0" collapsed="false">
      <c r="A3" s="6" t="s">
        <v>226</v>
      </c>
      <c r="B3" s="6" t="s">
        <v>54</v>
      </c>
      <c r="C3" s="6" t="s">
        <v>109</v>
      </c>
      <c r="D3" s="8" t="n">
        <v>45670</v>
      </c>
      <c r="E3" s="6" t="s">
        <v>227</v>
      </c>
      <c r="F3" s="6" t="n">
        <v>39</v>
      </c>
      <c r="G3" s="6" t="n">
        <v>8</v>
      </c>
      <c r="H3" s="6" t="n">
        <v>8</v>
      </c>
      <c r="I3" s="6" t="n">
        <v>3</v>
      </c>
      <c r="J3" s="6" t="n">
        <v>0</v>
      </c>
      <c r="K3" s="6" t="n">
        <v>56</v>
      </c>
      <c r="L3" s="7" t="n">
        <v>500</v>
      </c>
      <c r="M3" s="9" t="s">
        <v>225</v>
      </c>
    </row>
    <row r="4" customFormat="false" ht="15" hidden="false" customHeight="false" outlineLevel="0" collapsed="false">
      <c r="A4" s="2" t="s">
        <v>228</v>
      </c>
      <c r="B4" s="2" t="s">
        <v>46</v>
      </c>
      <c r="C4" s="2" t="s">
        <v>114</v>
      </c>
      <c r="D4" s="4" t="n">
        <v>45683</v>
      </c>
      <c r="E4" s="2" t="s">
        <v>227</v>
      </c>
      <c r="F4" s="2" t="n">
        <v>46</v>
      </c>
      <c r="G4" s="2" t="n">
        <v>9</v>
      </c>
      <c r="H4" s="2" t="n">
        <v>5</v>
      </c>
      <c r="I4" s="2" t="n">
        <v>0</v>
      </c>
      <c r="J4" s="2" t="n">
        <v>0</v>
      </c>
      <c r="K4" s="2" t="n">
        <v>51</v>
      </c>
      <c r="L4" s="3" t="n">
        <v>500</v>
      </c>
      <c r="M4" s="12" t="s">
        <v>229</v>
      </c>
    </row>
    <row r="5" customFormat="false" ht="15" hidden="false" customHeight="false" outlineLevel="0" collapsed="false">
      <c r="A5" s="6" t="s">
        <v>230</v>
      </c>
      <c r="B5" s="6" t="s">
        <v>54</v>
      </c>
      <c r="C5" s="6" t="s">
        <v>55</v>
      </c>
      <c r="D5" s="8" t="n">
        <v>45931</v>
      </c>
      <c r="E5" s="6" t="s">
        <v>227</v>
      </c>
      <c r="F5" s="6" t="n">
        <v>33</v>
      </c>
      <c r="G5" s="6" t="n">
        <v>9</v>
      </c>
      <c r="H5" s="6" t="n">
        <v>6</v>
      </c>
      <c r="I5" s="6" t="n">
        <v>1</v>
      </c>
      <c r="J5" s="6" t="n">
        <v>0</v>
      </c>
      <c r="K5" s="6" t="n">
        <v>56</v>
      </c>
      <c r="L5" s="7" t="n">
        <v>0</v>
      </c>
      <c r="M5" s="13" t="s">
        <v>229</v>
      </c>
    </row>
    <row r="6" customFormat="false" ht="15" hidden="false" customHeight="false" outlineLevel="0" collapsed="false">
      <c r="A6" s="2" t="s">
        <v>231</v>
      </c>
      <c r="B6" s="2" t="s">
        <v>76</v>
      </c>
      <c r="C6" s="2" t="s">
        <v>232</v>
      </c>
      <c r="D6" s="4" t="n">
        <v>45766</v>
      </c>
      <c r="E6" s="2" t="s">
        <v>227</v>
      </c>
      <c r="F6" s="2" t="n">
        <v>17</v>
      </c>
      <c r="G6" s="2" t="n">
        <v>7</v>
      </c>
      <c r="H6" s="2" t="n">
        <v>4</v>
      </c>
      <c r="I6" s="2" t="n">
        <v>0</v>
      </c>
      <c r="J6" s="2" t="n">
        <v>0</v>
      </c>
      <c r="K6" s="2" t="n">
        <v>40</v>
      </c>
      <c r="L6" s="3" t="n">
        <v>3500</v>
      </c>
      <c r="M6" s="12" t="s">
        <v>229</v>
      </c>
    </row>
    <row r="7" customFormat="false" ht="15" hidden="false" customHeight="false" outlineLevel="0" collapsed="false">
      <c r="A7" s="6" t="s">
        <v>233</v>
      </c>
      <c r="B7" s="6" t="s">
        <v>46</v>
      </c>
      <c r="C7" s="6" t="s">
        <v>114</v>
      </c>
      <c r="D7" s="8" t="n">
        <v>45884</v>
      </c>
      <c r="E7" s="6" t="s">
        <v>234</v>
      </c>
      <c r="F7" s="6" t="n">
        <v>61</v>
      </c>
      <c r="G7" s="6" t="n">
        <v>21</v>
      </c>
      <c r="H7" s="6" t="n">
        <v>3</v>
      </c>
      <c r="I7" s="6" t="n">
        <v>3</v>
      </c>
      <c r="J7" s="6" t="n">
        <v>2</v>
      </c>
      <c r="K7" s="6" t="n">
        <v>28</v>
      </c>
      <c r="L7" s="7" t="n">
        <v>3500</v>
      </c>
      <c r="M7" s="13" t="s">
        <v>229</v>
      </c>
    </row>
    <row r="8" customFormat="false" ht="15" hidden="false" customHeight="false" outlineLevel="0" collapsed="false">
      <c r="A8" s="2" t="s">
        <v>235</v>
      </c>
      <c r="B8" s="2" t="s">
        <v>46</v>
      </c>
      <c r="C8" s="2" t="s">
        <v>66</v>
      </c>
      <c r="D8" s="4" t="n">
        <v>45890</v>
      </c>
      <c r="E8" s="2" t="s">
        <v>236</v>
      </c>
      <c r="F8" s="2" t="n">
        <v>22</v>
      </c>
      <c r="G8" s="2" t="n">
        <v>20</v>
      </c>
      <c r="H8" s="2" t="n">
        <v>8</v>
      </c>
      <c r="I8" s="2" t="n">
        <v>3</v>
      </c>
      <c r="J8" s="2" t="n">
        <v>2</v>
      </c>
      <c r="K8" s="2" t="n">
        <v>20</v>
      </c>
      <c r="L8" s="3" t="n">
        <v>2000</v>
      </c>
      <c r="M8" s="5" t="s">
        <v>225</v>
      </c>
    </row>
    <row r="9" customFormat="false" ht="15" hidden="false" customHeight="false" outlineLevel="0" collapsed="false">
      <c r="A9" s="6" t="s">
        <v>237</v>
      </c>
      <c r="B9" s="6" t="s">
        <v>61</v>
      </c>
      <c r="C9" s="6" t="s">
        <v>117</v>
      </c>
      <c r="D9" s="8" t="n">
        <v>45699</v>
      </c>
      <c r="E9" s="6" t="s">
        <v>238</v>
      </c>
      <c r="F9" s="6" t="n">
        <v>33</v>
      </c>
      <c r="G9" s="6" t="n">
        <v>7</v>
      </c>
      <c r="H9" s="6" t="n">
        <v>3</v>
      </c>
      <c r="I9" s="6" t="n">
        <v>2</v>
      </c>
      <c r="J9" s="6" t="n">
        <v>2</v>
      </c>
      <c r="K9" s="6" t="n">
        <v>54</v>
      </c>
      <c r="L9" s="7" t="n">
        <v>3500</v>
      </c>
      <c r="M9" s="11" t="s">
        <v>239</v>
      </c>
    </row>
    <row r="10" customFormat="false" ht="15" hidden="false" customHeight="false" outlineLevel="0" collapsed="false">
      <c r="A10" s="2" t="s">
        <v>240</v>
      </c>
      <c r="B10" s="2" t="s">
        <v>46</v>
      </c>
      <c r="C10" s="2" t="s">
        <v>66</v>
      </c>
      <c r="D10" s="4" t="n">
        <v>45858</v>
      </c>
      <c r="E10" s="2" t="s">
        <v>238</v>
      </c>
      <c r="F10" s="2" t="n">
        <v>52</v>
      </c>
      <c r="G10" s="2" t="n">
        <v>19</v>
      </c>
      <c r="H10" s="2" t="n">
        <v>10</v>
      </c>
      <c r="I10" s="2" t="n">
        <v>3</v>
      </c>
      <c r="J10" s="2" t="n">
        <v>0</v>
      </c>
      <c r="K10" s="2" t="n">
        <v>58</v>
      </c>
      <c r="L10" s="3" t="n">
        <v>0</v>
      </c>
      <c r="M10" s="5" t="s">
        <v>225</v>
      </c>
    </row>
    <row r="11" customFormat="false" ht="15" hidden="false" customHeight="false" outlineLevel="0" collapsed="false">
      <c r="A11" s="6" t="s">
        <v>241</v>
      </c>
      <c r="B11" s="6" t="s">
        <v>46</v>
      </c>
      <c r="C11" s="6" t="s">
        <v>90</v>
      </c>
      <c r="D11" s="8" t="n">
        <v>45853</v>
      </c>
      <c r="E11" s="6" t="s">
        <v>242</v>
      </c>
      <c r="F11" s="6" t="n">
        <v>67</v>
      </c>
      <c r="G11" s="6" t="n">
        <v>15</v>
      </c>
      <c r="H11" s="6" t="n">
        <v>9</v>
      </c>
      <c r="I11" s="6" t="n">
        <v>3</v>
      </c>
      <c r="J11" s="6" t="n">
        <v>1</v>
      </c>
      <c r="K11" s="6" t="n">
        <v>60</v>
      </c>
      <c r="L11" s="7" t="n">
        <v>0</v>
      </c>
      <c r="M11" s="13" t="s">
        <v>229</v>
      </c>
    </row>
    <row r="12" customFormat="false" ht="15" hidden="false" customHeight="false" outlineLevel="0" collapsed="false">
      <c r="A12" s="2" t="s">
        <v>243</v>
      </c>
      <c r="B12" s="2" t="s">
        <v>61</v>
      </c>
      <c r="C12" s="2" t="s">
        <v>137</v>
      </c>
      <c r="D12" s="4" t="n">
        <v>45970</v>
      </c>
      <c r="E12" s="2" t="s">
        <v>227</v>
      </c>
      <c r="F12" s="2" t="n">
        <v>34</v>
      </c>
      <c r="G12" s="2" t="n">
        <v>26</v>
      </c>
      <c r="H12" s="2" t="n">
        <v>9</v>
      </c>
      <c r="I12" s="2" t="n">
        <v>0</v>
      </c>
      <c r="J12" s="2" t="n">
        <v>0</v>
      </c>
      <c r="K12" s="2" t="n">
        <v>19</v>
      </c>
      <c r="L12" s="3" t="n">
        <v>0</v>
      </c>
      <c r="M12" s="10" t="s">
        <v>239</v>
      </c>
    </row>
    <row r="13" customFormat="false" ht="15" hidden="false" customHeight="false" outlineLevel="0" collapsed="false">
      <c r="A13" s="6" t="s">
        <v>244</v>
      </c>
      <c r="B13" s="6" t="s">
        <v>76</v>
      </c>
      <c r="C13" s="6" t="s">
        <v>77</v>
      </c>
      <c r="D13" s="8" t="n">
        <v>46003</v>
      </c>
      <c r="E13" s="6" t="s">
        <v>234</v>
      </c>
      <c r="F13" s="6" t="n">
        <v>31</v>
      </c>
      <c r="G13" s="6" t="n">
        <v>22</v>
      </c>
      <c r="H13" s="6" t="n">
        <v>2</v>
      </c>
      <c r="I13" s="6" t="n">
        <v>2</v>
      </c>
      <c r="J13" s="6" t="n">
        <v>2</v>
      </c>
      <c r="K13" s="6" t="n">
        <v>49</v>
      </c>
      <c r="L13" s="7" t="n">
        <v>1000</v>
      </c>
      <c r="M13" s="9" t="s">
        <v>225</v>
      </c>
    </row>
    <row r="14" customFormat="false" ht="15" hidden="false" customHeight="false" outlineLevel="0" collapsed="false">
      <c r="A14" s="2" t="s">
        <v>245</v>
      </c>
      <c r="B14" s="2" t="s">
        <v>76</v>
      </c>
      <c r="C14" s="2" t="s">
        <v>246</v>
      </c>
      <c r="D14" s="4" t="n">
        <v>45836</v>
      </c>
      <c r="E14" s="2" t="s">
        <v>224</v>
      </c>
      <c r="F14" s="2" t="n">
        <v>69</v>
      </c>
      <c r="G14" s="2" t="n">
        <v>28</v>
      </c>
      <c r="H14" s="2" t="n">
        <v>2</v>
      </c>
      <c r="I14" s="2" t="n">
        <v>1</v>
      </c>
      <c r="J14" s="2" t="n">
        <v>1</v>
      </c>
      <c r="K14" s="2" t="n">
        <v>36</v>
      </c>
      <c r="L14" s="3" t="n">
        <v>0</v>
      </c>
      <c r="M14" s="10" t="s">
        <v>239</v>
      </c>
    </row>
    <row r="15" customFormat="false" ht="15" hidden="false" customHeight="false" outlineLevel="0" collapsed="false">
      <c r="A15" s="6" t="s">
        <v>247</v>
      </c>
      <c r="B15" s="6" t="s">
        <v>120</v>
      </c>
      <c r="C15" s="6" t="s">
        <v>248</v>
      </c>
      <c r="D15" s="8" t="n">
        <v>45738</v>
      </c>
      <c r="E15" s="6" t="s">
        <v>249</v>
      </c>
      <c r="F15" s="6" t="n">
        <v>43</v>
      </c>
      <c r="G15" s="6" t="n">
        <v>8</v>
      </c>
      <c r="H15" s="6" t="n">
        <v>4</v>
      </c>
      <c r="I15" s="6" t="n">
        <v>2</v>
      </c>
      <c r="J15" s="6" t="n">
        <v>0</v>
      </c>
      <c r="K15" s="6" t="n">
        <v>31</v>
      </c>
      <c r="L15" s="7" t="n">
        <v>3500</v>
      </c>
      <c r="M15" s="13" t="s">
        <v>229</v>
      </c>
    </row>
    <row r="16" customFormat="false" ht="15" hidden="false" customHeight="false" outlineLevel="0" collapsed="false">
      <c r="A16" s="2" t="s">
        <v>250</v>
      </c>
      <c r="B16" s="2" t="s">
        <v>37</v>
      </c>
      <c r="C16" s="2" t="s">
        <v>127</v>
      </c>
      <c r="D16" s="4" t="n">
        <v>45925</v>
      </c>
      <c r="E16" s="2" t="s">
        <v>234</v>
      </c>
      <c r="F16" s="2" t="n">
        <v>18</v>
      </c>
      <c r="G16" s="2" t="n">
        <v>14</v>
      </c>
      <c r="H16" s="2" t="n">
        <v>6</v>
      </c>
      <c r="I16" s="2" t="n">
        <v>0</v>
      </c>
      <c r="J16" s="2" t="n">
        <v>0</v>
      </c>
      <c r="K16" s="2" t="n">
        <v>31</v>
      </c>
      <c r="L16" s="3" t="n">
        <v>5000</v>
      </c>
      <c r="M16" s="12" t="s">
        <v>229</v>
      </c>
    </row>
    <row r="17" customFormat="false" ht="15" hidden="false" customHeight="false" outlineLevel="0" collapsed="false">
      <c r="A17" s="6" t="s">
        <v>251</v>
      </c>
      <c r="B17" s="6" t="s">
        <v>54</v>
      </c>
      <c r="C17" s="6" t="s">
        <v>109</v>
      </c>
      <c r="D17" s="8" t="n">
        <v>45663</v>
      </c>
      <c r="E17" s="6" t="s">
        <v>234</v>
      </c>
      <c r="F17" s="6" t="n">
        <v>33</v>
      </c>
      <c r="G17" s="6" t="n">
        <v>23</v>
      </c>
      <c r="H17" s="6" t="n">
        <v>8</v>
      </c>
      <c r="I17" s="6" t="n">
        <v>0</v>
      </c>
      <c r="J17" s="6" t="n">
        <v>0</v>
      </c>
      <c r="K17" s="6" t="n">
        <v>54</v>
      </c>
      <c r="L17" s="7" t="n">
        <v>0</v>
      </c>
      <c r="M17" s="13" t="s">
        <v>229</v>
      </c>
    </row>
    <row r="18" customFormat="false" ht="15" hidden="false" customHeight="false" outlineLevel="0" collapsed="false">
      <c r="A18" s="2" t="s">
        <v>252</v>
      </c>
      <c r="B18" s="2" t="s">
        <v>46</v>
      </c>
      <c r="C18" s="2" t="s">
        <v>90</v>
      </c>
      <c r="D18" s="4" t="n">
        <v>45852</v>
      </c>
      <c r="E18" s="2" t="s">
        <v>249</v>
      </c>
      <c r="F18" s="2" t="n">
        <v>58</v>
      </c>
      <c r="G18" s="2" t="n">
        <v>10</v>
      </c>
      <c r="H18" s="2" t="n">
        <v>7</v>
      </c>
      <c r="I18" s="2" t="n">
        <v>2</v>
      </c>
      <c r="J18" s="2" t="n">
        <v>2</v>
      </c>
      <c r="K18" s="2" t="n">
        <v>34</v>
      </c>
      <c r="L18" s="3" t="n">
        <v>3500</v>
      </c>
      <c r="M18" s="10" t="s">
        <v>239</v>
      </c>
    </row>
    <row r="19" customFormat="false" ht="15" hidden="false" customHeight="false" outlineLevel="0" collapsed="false">
      <c r="A19" s="6" t="s">
        <v>253</v>
      </c>
      <c r="B19" s="6" t="s">
        <v>76</v>
      </c>
      <c r="C19" s="6" t="s">
        <v>254</v>
      </c>
      <c r="D19" s="8" t="n">
        <v>45722</v>
      </c>
      <c r="E19" s="6" t="s">
        <v>234</v>
      </c>
      <c r="F19" s="6" t="n">
        <v>21</v>
      </c>
      <c r="G19" s="6" t="n">
        <v>7</v>
      </c>
      <c r="H19" s="6" t="n">
        <v>4</v>
      </c>
      <c r="I19" s="6" t="n">
        <v>3</v>
      </c>
      <c r="J19" s="6" t="n">
        <v>2</v>
      </c>
      <c r="K19" s="6" t="n">
        <v>41</v>
      </c>
      <c r="L19" s="7" t="n">
        <v>2000</v>
      </c>
      <c r="M19" s="11" t="s">
        <v>239</v>
      </c>
    </row>
    <row r="20" customFormat="false" ht="15" hidden="false" customHeight="false" outlineLevel="0" collapsed="false">
      <c r="A20" s="2" t="s">
        <v>255</v>
      </c>
      <c r="B20" s="2" t="s">
        <v>61</v>
      </c>
      <c r="C20" s="2" t="s">
        <v>62</v>
      </c>
      <c r="D20" s="4" t="n">
        <v>45784</v>
      </c>
      <c r="E20" s="2" t="s">
        <v>234</v>
      </c>
      <c r="F20" s="2" t="n">
        <v>80</v>
      </c>
      <c r="G20" s="2" t="n">
        <v>8</v>
      </c>
      <c r="H20" s="2" t="n">
        <v>4</v>
      </c>
      <c r="I20" s="2" t="n">
        <v>3</v>
      </c>
      <c r="J20" s="2" t="n">
        <v>0</v>
      </c>
      <c r="K20" s="2" t="n">
        <v>32</v>
      </c>
      <c r="L20" s="3" t="n">
        <v>5000</v>
      </c>
      <c r="M20" s="5" t="s">
        <v>225</v>
      </c>
    </row>
    <row r="21" customFormat="false" ht="15" hidden="false" customHeight="false" outlineLevel="0" collapsed="false">
      <c r="A21" s="6" t="s">
        <v>256</v>
      </c>
      <c r="B21" s="6" t="s">
        <v>120</v>
      </c>
      <c r="C21" s="6" t="s">
        <v>147</v>
      </c>
      <c r="D21" s="8" t="n">
        <v>45922</v>
      </c>
      <c r="E21" s="6" t="s">
        <v>227</v>
      </c>
      <c r="F21" s="6" t="n">
        <v>20</v>
      </c>
      <c r="G21" s="6" t="n">
        <v>12</v>
      </c>
      <c r="H21" s="6" t="n">
        <v>8</v>
      </c>
      <c r="I21" s="6" t="n">
        <v>0</v>
      </c>
      <c r="J21" s="6" t="n">
        <v>0</v>
      </c>
      <c r="K21" s="6" t="n">
        <v>27</v>
      </c>
      <c r="L21" s="7" t="n">
        <v>1000</v>
      </c>
      <c r="M21" s="13" t="s">
        <v>229</v>
      </c>
    </row>
    <row r="22" customFormat="false" ht="15" hidden="false" customHeight="false" outlineLevel="0" collapsed="false">
      <c r="A22" s="2" t="s">
        <v>257</v>
      </c>
      <c r="B22" s="2" t="s">
        <v>37</v>
      </c>
      <c r="C22" s="2" t="s">
        <v>38</v>
      </c>
      <c r="D22" s="4" t="n">
        <v>45787</v>
      </c>
      <c r="E22" s="2" t="s">
        <v>227</v>
      </c>
      <c r="F22" s="2" t="n">
        <v>30</v>
      </c>
      <c r="G22" s="2" t="n">
        <v>5</v>
      </c>
      <c r="H22" s="2" t="n">
        <v>5</v>
      </c>
      <c r="I22" s="2" t="n">
        <v>3</v>
      </c>
      <c r="J22" s="2" t="n">
        <v>0</v>
      </c>
      <c r="K22" s="2" t="n">
        <v>22</v>
      </c>
      <c r="L22" s="3" t="n">
        <v>2000</v>
      </c>
      <c r="M22" s="10" t="s">
        <v>239</v>
      </c>
    </row>
    <row r="23" customFormat="false" ht="15" hidden="false" customHeight="false" outlineLevel="0" collapsed="false">
      <c r="A23" s="6" t="s">
        <v>258</v>
      </c>
      <c r="B23" s="6" t="s">
        <v>46</v>
      </c>
      <c r="C23" s="6" t="s">
        <v>90</v>
      </c>
      <c r="D23" s="8" t="n">
        <v>45918</v>
      </c>
      <c r="E23" s="6" t="s">
        <v>234</v>
      </c>
      <c r="F23" s="6" t="n">
        <v>60</v>
      </c>
      <c r="G23" s="6" t="n">
        <v>7</v>
      </c>
      <c r="H23" s="6" t="n">
        <v>5</v>
      </c>
      <c r="I23" s="6" t="n">
        <v>0</v>
      </c>
      <c r="J23" s="6" t="n">
        <v>0</v>
      </c>
      <c r="K23" s="6" t="n">
        <v>15</v>
      </c>
      <c r="L23" s="7" t="n">
        <v>2000</v>
      </c>
      <c r="M23" s="13" t="s">
        <v>229</v>
      </c>
    </row>
    <row r="24" customFormat="false" ht="15" hidden="false" customHeight="false" outlineLevel="0" collapsed="false">
      <c r="A24" s="2" t="s">
        <v>259</v>
      </c>
      <c r="B24" s="2" t="s">
        <v>37</v>
      </c>
      <c r="C24" s="2" t="s">
        <v>127</v>
      </c>
      <c r="D24" s="4" t="n">
        <v>45944</v>
      </c>
      <c r="E24" s="2" t="s">
        <v>238</v>
      </c>
      <c r="F24" s="2" t="n">
        <v>66</v>
      </c>
      <c r="G24" s="2" t="n">
        <v>27</v>
      </c>
      <c r="H24" s="2" t="n">
        <v>8</v>
      </c>
      <c r="I24" s="2" t="n">
        <v>2</v>
      </c>
      <c r="J24" s="2" t="n">
        <v>0</v>
      </c>
      <c r="K24" s="2" t="n">
        <v>39</v>
      </c>
      <c r="L24" s="3" t="n">
        <v>0</v>
      </c>
      <c r="M24" s="12" t="s">
        <v>229</v>
      </c>
    </row>
    <row r="25" customFormat="false" ht="15" hidden="false" customHeight="false" outlineLevel="0" collapsed="false">
      <c r="A25" s="6" t="s">
        <v>260</v>
      </c>
      <c r="B25" s="6" t="s">
        <v>27</v>
      </c>
      <c r="C25" s="6" t="s">
        <v>82</v>
      </c>
      <c r="D25" s="8" t="n">
        <v>46003</v>
      </c>
      <c r="E25" s="6" t="s">
        <v>236</v>
      </c>
      <c r="F25" s="6" t="n">
        <v>70</v>
      </c>
      <c r="G25" s="6" t="n">
        <v>8</v>
      </c>
      <c r="H25" s="6" t="n">
        <v>3</v>
      </c>
      <c r="I25" s="6" t="n">
        <v>3</v>
      </c>
      <c r="J25" s="6" t="n">
        <v>2</v>
      </c>
      <c r="K25" s="6" t="n">
        <v>39</v>
      </c>
      <c r="L25" s="7" t="n">
        <v>3500</v>
      </c>
      <c r="M25" s="13" t="s">
        <v>229</v>
      </c>
    </row>
    <row r="26" customFormat="false" ht="15" hidden="false" customHeight="false" outlineLevel="0" collapsed="false">
      <c r="A26" s="2" t="s">
        <v>261</v>
      </c>
      <c r="B26" s="2" t="s">
        <v>61</v>
      </c>
      <c r="C26" s="2" t="s">
        <v>137</v>
      </c>
      <c r="D26" s="4" t="n">
        <v>46002</v>
      </c>
      <c r="E26" s="2" t="s">
        <v>242</v>
      </c>
      <c r="F26" s="2" t="n">
        <v>57</v>
      </c>
      <c r="G26" s="2" t="n">
        <v>29</v>
      </c>
      <c r="H26" s="2" t="n">
        <v>4</v>
      </c>
      <c r="I26" s="2" t="n">
        <v>0</v>
      </c>
      <c r="J26" s="2" t="n">
        <v>0</v>
      </c>
      <c r="K26" s="2" t="n">
        <v>47</v>
      </c>
      <c r="L26" s="3" t="n">
        <v>3500</v>
      </c>
      <c r="M26" s="12" t="s">
        <v>229</v>
      </c>
    </row>
  </sheetData>
  <autoFilter ref="A1:M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15" hidden="false" customHeight="false" outlineLevel="0" collapsed="false">
      <c r="A1" s="1" t="s">
        <v>8</v>
      </c>
      <c r="B1" s="1" t="s">
        <v>262</v>
      </c>
      <c r="C1" s="1" t="s">
        <v>263</v>
      </c>
      <c r="D1" s="1" t="s">
        <v>264</v>
      </c>
      <c r="E1" s="1" t="s">
        <v>210</v>
      </c>
      <c r="F1" s="1" t="s">
        <v>265</v>
      </c>
      <c r="G1" s="1" t="s">
        <v>193</v>
      </c>
      <c r="H1" s="1" t="s">
        <v>266</v>
      </c>
    </row>
    <row r="2" customFormat="false" ht="15" hidden="false" customHeight="false" outlineLevel="0" collapsed="false">
      <c r="A2" s="2" t="s">
        <v>76</v>
      </c>
      <c r="B2" s="2" t="n">
        <v>3</v>
      </c>
      <c r="C2" s="3" t="n">
        <v>13000</v>
      </c>
      <c r="D2" s="3" t="n">
        <v>39000</v>
      </c>
      <c r="E2" s="2" t="n">
        <v>73.7</v>
      </c>
      <c r="F2" s="2" t="n">
        <v>85.7</v>
      </c>
      <c r="G2" s="5" t="n">
        <v>25</v>
      </c>
      <c r="H2" s="2" t="n">
        <v>13.3</v>
      </c>
    </row>
    <row r="3" customFormat="false" ht="15" hidden="false" customHeight="false" outlineLevel="0" collapsed="false">
      <c r="A3" s="6" t="s">
        <v>27</v>
      </c>
      <c r="B3" s="6" t="n">
        <v>8</v>
      </c>
      <c r="C3" s="7" t="n">
        <v>10938</v>
      </c>
      <c r="D3" s="7" t="n">
        <v>87500</v>
      </c>
      <c r="E3" s="6" t="n">
        <v>78.2</v>
      </c>
      <c r="F3" s="6" t="n">
        <v>74</v>
      </c>
      <c r="G3" s="11" t="n">
        <v>20</v>
      </c>
      <c r="H3" s="6" t="n">
        <v>7.6</v>
      </c>
    </row>
    <row r="4" customFormat="false" ht="15" hidden="false" customHeight="false" outlineLevel="0" collapsed="false">
      <c r="A4" s="2" t="s">
        <v>54</v>
      </c>
      <c r="B4" s="2" t="n">
        <v>9</v>
      </c>
      <c r="C4" s="3" t="n">
        <v>11722</v>
      </c>
      <c r="D4" s="3" t="n">
        <v>105500</v>
      </c>
      <c r="E4" s="2" t="n">
        <v>78.2</v>
      </c>
      <c r="F4" s="2" t="n">
        <v>72.3</v>
      </c>
      <c r="G4" s="12" t="n">
        <v>0</v>
      </c>
      <c r="H4" s="2" t="n">
        <v>6.7</v>
      </c>
    </row>
    <row r="5" customFormat="false" ht="15" hidden="false" customHeight="false" outlineLevel="0" collapsed="false">
      <c r="A5" s="6" t="s">
        <v>61</v>
      </c>
      <c r="B5" s="6" t="n">
        <v>6</v>
      </c>
      <c r="C5" s="7" t="n">
        <v>9417</v>
      </c>
      <c r="D5" s="7" t="n">
        <v>56500</v>
      </c>
      <c r="E5" s="6" t="n">
        <v>81.8</v>
      </c>
      <c r="F5" s="6" t="n">
        <v>71.3</v>
      </c>
      <c r="G5" s="11" t="n">
        <v>14.3</v>
      </c>
      <c r="H5" s="6" t="n">
        <v>12</v>
      </c>
    </row>
    <row r="6" customFormat="false" ht="15" hidden="false" customHeight="false" outlineLevel="0" collapsed="false">
      <c r="A6" s="2" t="s">
        <v>120</v>
      </c>
      <c r="B6" s="2" t="n">
        <v>2</v>
      </c>
      <c r="C6" s="3" t="n">
        <v>9750</v>
      </c>
      <c r="D6" s="3" t="n">
        <v>19500</v>
      </c>
      <c r="E6" s="2" t="n">
        <v>77.5</v>
      </c>
      <c r="F6" s="2" t="n">
        <v>66</v>
      </c>
      <c r="G6" s="5" t="n">
        <v>33.3</v>
      </c>
      <c r="H6" s="2" t="n">
        <v>2</v>
      </c>
    </row>
    <row r="7" customFormat="false" ht="15" hidden="false" customHeight="false" outlineLevel="0" collapsed="false">
      <c r="A7" s="6" t="s">
        <v>46</v>
      </c>
      <c r="B7" s="6" t="n">
        <v>6</v>
      </c>
      <c r="C7" s="7" t="n">
        <v>12083</v>
      </c>
      <c r="D7" s="7" t="n">
        <v>72500</v>
      </c>
      <c r="E7" s="6" t="n">
        <v>72.5</v>
      </c>
      <c r="F7" s="6" t="n">
        <v>77</v>
      </c>
      <c r="G7" s="9" t="n">
        <v>33.3</v>
      </c>
      <c r="H7" s="6" t="n">
        <v>12.5</v>
      </c>
    </row>
    <row r="8" customFormat="false" ht="15" hidden="false" customHeight="false" outlineLevel="0" collapsed="false">
      <c r="A8" s="2" t="s">
        <v>37</v>
      </c>
      <c r="B8" s="2" t="n">
        <v>6</v>
      </c>
      <c r="C8" s="3" t="n">
        <v>6917</v>
      </c>
      <c r="D8" s="3" t="n">
        <v>41500</v>
      </c>
      <c r="E8" s="2" t="n">
        <v>74.8</v>
      </c>
      <c r="F8" s="2" t="n">
        <v>68.7</v>
      </c>
      <c r="G8" s="5" t="n">
        <v>25</v>
      </c>
      <c r="H8" s="2" t="n">
        <v>7.7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18" t="s">
        <v>267</v>
      </c>
    </row>
    <row r="2" customFormat="false" ht="15" hidden="false" customHeight="false" outlineLevel="0" collapsed="false">
      <c r="A2" s="19"/>
    </row>
    <row r="3" customFormat="false" ht="12.65" hidden="false" customHeight="false" outlineLevel="0" collapsed="false">
      <c r="A3" s="20" t="s">
        <v>268</v>
      </c>
    </row>
    <row r="4" customFormat="false" ht="15" hidden="false" customHeight="false" outlineLevel="0" collapsed="false">
      <c r="A4" s="19"/>
    </row>
    <row r="5" customFormat="false" ht="14.15" hidden="false" customHeight="false" outlineLevel="0" collapsed="false">
      <c r="A5" s="21" t="s">
        <v>269</v>
      </c>
    </row>
    <row r="6" customFormat="false" ht="12.65" hidden="false" customHeight="false" outlineLevel="0" collapsed="false">
      <c r="A6" s="20" t="s">
        <v>270</v>
      </c>
    </row>
    <row r="7" customFormat="false" ht="12.65" hidden="false" customHeight="false" outlineLevel="0" collapsed="false">
      <c r="A7" s="20" t="s">
        <v>271</v>
      </c>
    </row>
    <row r="8" customFormat="false" ht="12.65" hidden="false" customHeight="false" outlineLevel="0" collapsed="false">
      <c r="A8" s="20" t="s">
        <v>272</v>
      </c>
    </row>
    <row r="9" customFormat="false" ht="12.65" hidden="false" customHeight="false" outlineLevel="0" collapsed="false">
      <c r="A9" s="20" t="s">
        <v>273</v>
      </c>
    </row>
    <row r="10" customFormat="false" ht="12.65" hidden="false" customHeight="false" outlineLevel="0" collapsed="false">
      <c r="A10" s="20" t="s">
        <v>274</v>
      </c>
    </row>
    <row r="11" customFormat="false" ht="12.65" hidden="false" customHeight="false" outlineLevel="0" collapsed="false">
      <c r="A11" s="20" t="s">
        <v>275</v>
      </c>
    </row>
    <row r="12" customFormat="false" ht="15" hidden="false" customHeight="false" outlineLevel="0" collapsed="false">
      <c r="A12" s="19"/>
    </row>
    <row r="13" customFormat="false" ht="14.15" hidden="false" customHeight="false" outlineLevel="0" collapsed="false">
      <c r="A13" s="21" t="s">
        <v>276</v>
      </c>
    </row>
    <row r="14" customFormat="false" ht="12.65" hidden="false" customHeight="false" outlineLevel="0" collapsed="false">
      <c r="A14" s="20" t="s">
        <v>277</v>
      </c>
    </row>
    <row r="15" customFormat="false" ht="12.65" hidden="false" customHeight="false" outlineLevel="0" collapsed="false">
      <c r="A15" s="20" t="s">
        <v>278</v>
      </c>
    </row>
    <row r="16" customFormat="false" ht="12.65" hidden="false" customHeight="false" outlineLevel="0" collapsed="false">
      <c r="A16" s="20" t="s">
        <v>279</v>
      </c>
    </row>
    <row r="17" customFormat="false" ht="12.65" hidden="false" customHeight="false" outlineLevel="0" collapsed="false">
      <c r="A17" s="20" t="s">
        <v>280</v>
      </c>
    </row>
    <row r="18" customFormat="false" ht="12.65" hidden="false" customHeight="false" outlineLevel="0" collapsed="false">
      <c r="A18" s="20" t="s">
        <v>281</v>
      </c>
    </row>
    <row r="19" customFormat="false" ht="15" hidden="false" customHeight="false" outlineLevel="0" collapsed="false">
      <c r="A19" s="19"/>
    </row>
    <row r="20" customFormat="false" ht="14.15" hidden="false" customHeight="false" outlineLevel="0" collapsed="false">
      <c r="A20" s="21" t="s">
        <v>282</v>
      </c>
    </row>
    <row r="21" customFormat="false" ht="12.65" hidden="false" customHeight="false" outlineLevel="0" collapsed="false">
      <c r="A21" s="20" t="s">
        <v>283</v>
      </c>
    </row>
    <row r="22" customFormat="false" ht="12.65" hidden="false" customHeight="false" outlineLevel="0" collapsed="false">
      <c r="A22" s="20" t="s">
        <v>284</v>
      </c>
    </row>
    <row r="23" customFormat="false" ht="12.65" hidden="false" customHeight="false" outlineLevel="0" collapsed="false">
      <c r="A23" s="20" t="s">
        <v>285</v>
      </c>
    </row>
    <row r="24" customFormat="false" ht="12.65" hidden="false" customHeight="false" outlineLevel="0" collapsed="false">
      <c r="A24" s="20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2026-03-03T08:12:31Z</dcterms:created>
  <dc:creator>openpyxl</dc:creator>
  <dc:description/>
  <dc:language>en-US</dc:language>
  <cp:lastModifiedBy/>
  <dcterms:modified xsi:type="dcterms:W3CDTF">2026-03-03T08:12:31Z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